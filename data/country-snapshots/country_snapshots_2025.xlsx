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wsl.localhost\Ubuntu-22.04\home\gvdr\reps\sdmx\dashboarder\"/>
    </mc:Choice>
  </mc:AlternateContent>
  <xr:revisionPtr revIDLastSave="0" documentId="8_{A69BAFD3-A780-48A8-A5C9-6D9A9F143BDD}" xr6:coauthVersionLast="47" xr6:coauthVersionMax="47" xr10:uidLastSave="{00000000-0000-0000-0000-000000000000}"/>
  <bookViews>
    <workbookView xWindow="-2990" yWindow="-21440" windowWidth="25620" windowHeight="20650" firstSheet="2" activeTab="2" xr2:uid="{00000000-000D-0000-FFFF-FFFF00000000}"/>
  </bookViews>
  <sheets>
    <sheet name="REPORTS" sheetId="1" r:id="rId1"/>
    <sheet name="INDICATORS" sheetId="2" r:id="rId2"/>
    <sheet name="work" sheetId="5" r:id="rId3"/>
    <sheet name="MFAT List_Alison Review" sheetId="4" state="hidden" r:id="rId4"/>
  </sheets>
  <definedNames>
    <definedName name="_xlnm._FilterDatabase" localSheetId="1" hidden="1">INDICATORS!$C$1:$I$164</definedName>
    <definedName name="_xlnm._FilterDatabase" localSheetId="3" hidden="1">'MFAT List_Alison Review'!$A$1:$I$126</definedName>
    <definedName name="_xlnm._FilterDatabase" localSheetId="2" hidden="1">work!$A$1:$M$171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2" i="5" l="1"/>
  <c r="A123" i="5"/>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21" i="5"/>
  <c r="K116" i="5"/>
  <c r="A116" i="5"/>
  <c r="A117" i="5" s="1"/>
  <c r="A118" i="5" s="1"/>
  <c r="A119" i="5" s="1"/>
  <c r="A120" i="5" s="1"/>
  <c r="K163" i="5"/>
  <c r="K50" i="5" l="1"/>
  <c r="K51" i="5"/>
  <c r="K59" i="5"/>
  <c r="K171" i="5"/>
  <c r="K170" i="5"/>
  <c r="K169" i="5"/>
  <c r="K168" i="5"/>
  <c r="K167" i="5"/>
  <c r="K166" i="5"/>
  <c r="K165" i="5"/>
  <c r="K164"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0" i="5"/>
  <c r="K119" i="5"/>
  <c r="K118" i="5"/>
  <c r="K117"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8" i="5"/>
  <c r="K57" i="5"/>
  <c r="K56" i="5"/>
  <c r="K55" i="5"/>
  <c r="K54" i="5"/>
  <c r="K53" i="5"/>
  <c r="K52"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2" i="5"/>
  <c r="K37" i="2"/>
  <c r="K38" i="2"/>
  <c r="K45" i="2"/>
  <c r="K46" i="2"/>
  <c r="K47" i="2"/>
  <c r="K65" i="2"/>
  <c r="K66" i="2"/>
  <c r="K67" i="2"/>
  <c r="K68" i="2"/>
  <c r="K69" i="2"/>
  <c r="K14" i="2"/>
  <c r="K61" i="2"/>
  <c r="K70" i="2"/>
  <c r="K60" i="2"/>
  <c r="K58" i="2"/>
  <c r="K59" i="2"/>
  <c r="K62" i="2"/>
  <c r="K63" i="2"/>
  <c r="K64" i="2"/>
  <c r="K165" i="2" l="1"/>
  <c r="K125" i="2"/>
  <c r="K136" i="2"/>
  <c r="K3" i="2"/>
  <c r="K57" i="2"/>
  <c r="K30" i="2"/>
  <c r="K35" i="2"/>
  <c r="K42" i="2"/>
  <c r="K29" i="2"/>
  <c r="K107" i="2"/>
  <c r="K109" i="2"/>
  <c r="K152" i="2"/>
  <c r="K151" i="2"/>
  <c r="K76" i="2"/>
  <c r="K86" i="2"/>
  <c r="K8" i="2"/>
  <c r="K9" i="2"/>
  <c r="K10" i="2"/>
  <c r="K11" i="2"/>
  <c r="K12" i="2"/>
  <c r="K13" i="2"/>
  <c r="K15" i="2"/>
  <c r="K16" i="2"/>
  <c r="K17" i="2"/>
  <c r="K18" i="2"/>
  <c r="K19" i="2"/>
  <c r="K20" i="2"/>
  <c r="K21" i="2"/>
  <c r="K22" i="2"/>
  <c r="K23" i="2"/>
  <c r="K24" i="2"/>
  <c r="K25" i="2"/>
  <c r="K26" i="2"/>
  <c r="K32" i="2"/>
  <c r="K43" i="2"/>
  <c r="K31" i="2"/>
  <c r="K41" i="2"/>
  <c r="K40" i="2"/>
  <c r="K34" i="2"/>
  <c r="K48" i="2"/>
  <c r="K36" i="2"/>
  <c r="K27" i="2"/>
  <c r="K28" i="2"/>
  <c r="K33" i="2"/>
  <c r="K44" i="2"/>
  <c r="K49" i="2"/>
  <c r="K39" i="2"/>
  <c r="K50" i="2"/>
  <c r="K51" i="2"/>
  <c r="K52" i="2"/>
  <c r="K53" i="2"/>
  <c r="K54" i="2"/>
  <c r="K71" i="2"/>
  <c r="K55" i="2"/>
  <c r="K72" i="2"/>
  <c r="K73" i="2"/>
  <c r="K74" i="2"/>
  <c r="K56" i="2"/>
  <c r="K75" i="2"/>
  <c r="K77" i="2"/>
  <c r="K78" i="2"/>
  <c r="K79" i="2"/>
  <c r="K80" i="2"/>
  <c r="K81" i="2"/>
  <c r="K82" i="2"/>
  <c r="K83" i="2"/>
  <c r="K84" i="2"/>
  <c r="K85" i="2"/>
  <c r="K87" i="2"/>
  <c r="K88" i="2"/>
  <c r="K89" i="2"/>
  <c r="K90" i="2"/>
  <c r="K91" i="2"/>
  <c r="K92" i="2"/>
  <c r="K93" i="2"/>
  <c r="K94" i="2"/>
  <c r="K95" i="2"/>
  <c r="K96" i="2"/>
  <c r="K97" i="2"/>
  <c r="K98" i="2"/>
  <c r="K99" i="2"/>
  <c r="K100" i="2"/>
  <c r="K101" i="2"/>
  <c r="K102" i="2"/>
  <c r="K103" i="2"/>
  <c r="K104" i="2"/>
  <c r="K105" i="2"/>
  <c r="K106" i="2"/>
  <c r="K108" i="2"/>
  <c r="K110" i="2"/>
  <c r="K111" i="2"/>
  <c r="K112" i="2"/>
  <c r="K113" i="2"/>
  <c r="K114" i="2"/>
  <c r="K115" i="2"/>
  <c r="K116" i="2"/>
  <c r="K117" i="2"/>
  <c r="K118" i="2"/>
  <c r="K119" i="2"/>
  <c r="K120" i="2"/>
  <c r="K121" i="2"/>
  <c r="K122" i="2"/>
  <c r="K123" i="2"/>
  <c r="K124" i="2"/>
  <c r="K126" i="2"/>
  <c r="K127" i="2"/>
  <c r="K128" i="2"/>
  <c r="K129" i="2"/>
  <c r="K130" i="2"/>
  <c r="K131" i="2"/>
  <c r="K132" i="2"/>
  <c r="K133" i="2"/>
  <c r="K134" i="2"/>
  <c r="K135" i="2"/>
  <c r="K137" i="2"/>
  <c r="K138" i="2"/>
  <c r="K139" i="2"/>
  <c r="K140" i="2"/>
  <c r="K141" i="2"/>
  <c r="K142" i="2"/>
  <c r="K143" i="2"/>
  <c r="K144" i="2"/>
  <c r="K145" i="2"/>
  <c r="K146" i="2"/>
  <c r="K147" i="2"/>
  <c r="K148" i="2"/>
  <c r="K149" i="2"/>
  <c r="K150" i="2"/>
  <c r="K153" i="2"/>
  <c r="K154" i="2"/>
  <c r="K155" i="2"/>
  <c r="K156" i="2"/>
  <c r="K157" i="2"/>
  <c r="K158" i="2"/>
  <c r="K159" i="2"/>
  <c r="K160" i="2"/>
  <c r="K161" i="2"/>
  <c r="K162" i="2"/>
  <c r="K163" i="2"/>
  <c r="K164" i="2"/>
  <c r="K2" i="2"/>
  <c r="K4" i="2"/>
  <c r="K5" i="2"/>
  <c r="K6" i="2"/>
  <c r="K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 Cann-Polydor</author>
  </authors>
  <commentList>
    <comment ref="F1" authorId="0" shapeId="0" xr:uid="{6B2EADF0-D578-416F-A195-EF91E7F87AAA}">
      <text>
        <r>
          <rPr>
            <b/>
            <sz val="9"/>
            <color indexed="81"/>
            <rFont val="Tahoma"/>
            <family val="2"/>
          </rPr>
          <t>Leo Cann-Polydor:</t>
        </r>
        <r>
          <rPr>
            <sz val="9"/>
            <color indexed="81"/>
            <rFont val="Tahoma"/>
            <family val="2"/>
          </rPr>
          <t xml:space="preserve">
In this column you'll find the name of each indicator asked by MFAT. It could differ from the column "EN" because sometimes it's a little different.
This way we have all the indicators asked by MFAT.</t>
        </r>
      </text>
    </comment>
    <comment ref="E27" authorId="0" shapeId="0" xr:uid="{1125E8E1-30A2-4FC7-856B-C359398C5996}">
      <text>
        <r>
          <rPr>
            <b/>
            <sz val="9"/>
            <color indexed="81"/>
            <rFont val="Tahoma"/>
            <family val="2"/>
          </rPr>
          <t>Leo Cann-Polydor:</t>
        </r>
        <r>
          <rPr>
            <sz val="9"/>
            <color indexed="81"/>
            <rFont val="Tahoma"/>
            <family val="2"/>
          </rPr>
          <t xml:space="preserve">
Duplicate </t>
        </r>
      </text>
    </comment>
    <comment ref="E28" authorId="0" shapeId="0" xr:uid="{219491A7-5FF2-426E-AFBD-B71F74073089}">
      <text>
        <r>
          <rPr>
            <b/>
            <sz val="9"/>
            <color indexed="81"/>
            <rFont val="Tahoma"/>
            <family val="2"/>
          </rPr>
          <t>Leo Cann-Polydor:</t>
        </r>
        <r>
          <rPr>
            <sz val="9"/>
            <color indexed="81"/>
            <rFont val="Tahoma"/>
            <family val="2"/>
          </rPr>
          <t xml:space="preserve">
Duplicate </t>
        </r>
      </text>
    </comment>
    <comment ref="E77" authorId="0" shapeId="0" xr:uid="{2C2D26D9-520C-4B7D-A4B0-1BA45AC65E37}">
      <text>
        <r>
          <rPr>
            <b/>
            <sz val="9"/>
            <color indexed="81"/>
            <rFont val="Tahoma"/>
            <family val="2"/>
          </rPr>
          <t>Leo Cann-Polydor:</t>
        </r>
        <r>
          <rPr>
            <sz val="9"/>
            <color indexed="81"/>
            <rFont val="Tahoma"/>
            <family val="2"/>
          </rPr>
          <t xml:space="preserve">
Duplicate </t>
        </r>
      </text>
    </comment>
    <comment ref="E78" authorId="0" shapeId="0" xr:uid="{C098F799-1737-415D-9284-553A23A77679}">
      <text>
        <r>
          <rPr>
            <b/>
            <sz val="9"/>
            <color indexed="81"/>
            <rFont val="Tahoma"/>
            <family val="2"/>
          </rPr>
          <t>Leo Cann-Polydor:</t>
        </r>
        <r>
          <rPr>
            <sz val="9"/>
            <color indexed="81"/>
            <rFont val="Tahoma"/>
            <family val="2"/>
          </rPr>
          <t xml:space="preserve">
Duplicate </t>
        </r>
      </text>
    </comment>
    <comment ref="E79" authorId="0" shapeId="0" xr:uid="{ED4E28C5-02FB-4F35-BDEC-DDBDC2DFB2DD}">
      <text>
        <r>
          <rPr>
            <b/>
            <sz val="9"/>
            <color indexed="81"/>
            <rFont val="Tahoma"/>
            <family val="2"/>
          </rPr>
          <t>Leo Cann-Polydor:</t>
        </r>
        <r>
          <rPr>
            <sz val="9"/>
            <color indexed="81"/>
            <rFont val="Tahoma"/>
            <family val="2"/>
          </rPr>
          <t xml:space="preserve">
Duplicate </t>
        </r>
      </text>
    </comment>
    <comment ref="E80" authorId="0" shapeId="0" xr:uid="{8AB02B72-9788-4245-85FD-0F6128366F57}">
      <text>
        <r>
          <rPr>
            <b/>
            <sz val="9"/>
            <color indexed="81"/>
            <rFont val="Tahoma"/>
            <family val="2"/>
          </rPr>
          <t>Leo Cann-Polydor:</t>
        </r>
        <r>
          <rPr>
            <sz val="9"/>
            <color indexed="81"/>
            <rFont val="Tahoma"/>
            <family val="2"/>
          </rPr>
          <t xml:space="preserve">
Duplicate </t>
        </r>
      </text>
    </comment>
    <comment ref="E102" authorId="0" shapeId="0" xr:uid="{A38DDA84-81C5-44E1-87E2-2DC8BB65C6DC}">
      <text>
        <r>
          <rPr>
            <b/>
            <sz val="9"/>
            <color indexed="81"/>
            <rFont val="Tahoma"/>
            <family val="2"/>
          </rPr>
          <t>Leo Cann-Polydor:</t>
        </r>
        <r>
          <rPr>
            <sz val="9"/>
            <color indexed="81"/>
            <rFont val="Tahoma"/>
            <family val="2"/>
          </rPr>
          <t xml:space="preserve">
Duplicate </t>
        </r>
      </text>
    </comment>
    <comment ref="E108" authorId="0" shapeId="0" xr:uid="{D46E51A8-F590-43F5-B609-FA7BA36042CF}">
      <text>
        <r>
          <rPr>
            <b/>
            <sz val="9"/>
            <color indexed="81"/>
            <rFont val="Tahoma"/>
            <family val="2"/>
          </rPr>
          <t>Leo Cann-Polydor:</t>
        </r>
        <r>
          <rPr>
            <sz val="9"/>
            <color indexed="81"/>
            <rFont val="Tahoma"/>
            <family val="2"/>
          </rPr>
          <t xml:space="preserve">
Duplicate </t>
        </r>
      </text>
    </comment>
    <comment ref="E110" authorId="0" shapeId="0" xr:uid="{7A0CC3F8-E949-4CEB-82A1-3D41695D442F}">
      <text>
        <r>
          <rPr>
            <b/>
            <sz val="9"/>
            <color indexed="81"/>
            <rFont val="Tahoma"/>
            <family val="2"/>
          </rPr>
          <t>Leo Cann-Polydor:</t>
        </r>
        <r>
          <rPr>
            <sz val="9"/>
            <color indexed="81"/>
            <rFont val="Tahoma"/>
            <family val="2"/>
          </rPr>
          <t xml:space="preserve">
Duplicate </t>
        </r>
      </text>
    </comment>
    <comment ref="E111" authorId="0" shapeId="0" xr:uid="{608D225D-EA1A-4513-9EB3-061D4D1AF4C4}">
      <text>
        <r>
          <rPr>
            <b/>
            <sz val="9"/>
            <color indexed="81"/>
            <rFont val="Tahoma"/>
            <family val="2"/>
          </rPr>
          <t>Leo Cann-Polydor:</t>
        </r>
        <r>
          <rPr>
            <sz val="9"/>
            <color indexed="81"/>
            <rFont val="Tahoma"/>
            <family val="2"/>
          </rPr>
          <t xml:space="preserve">
Duplicate </t>
        </r>
      </text>
    </comment>
    <comment ref="E151" authorId="0" shapeId="0" xr:uid="{5399D578-FE59-4B85-A75A-4D462F5B7766}">
      <text>
        <r>
          <rPr>
            <b/>
            <sz val="9"/>
            <color indexed="81"/>
            <rFont val="Tahoma"/>
            <family val="2"/>
          </rPr>
          <t>Leo Cann-Polydor:</t>
        </r>
        <r>
          <rPr>
            <sz val="9"/>
            <color indexed="81"/>
            <rFont val="Tahoma"/>
            <family val="2"/>
          </rPr>
          <t xml:space="preserve">
Duplicate </t>
        </r>
      </text>
    </comment>
    <comment ref="E152" authorId="0" shapeId="0" xr:uid="{B539356C-93A1-4286-9526-2315F2EB948D}">
      <text>
        <r>
          <rPr>
            <b/>
            <sz val="9"/>
            <color indexed="81"/>
            <rFont val="Tahoma"/>
            <family val="2"/>
          </rPr>
          <t>Leo Cann-Polydor:</t>
        </r>
        <r>
          <rPr>
            <sz val="9"/>
            <color indexed="81"/>
            <rFont val="Tahoma"/>
            <family val="2"/>
          </rPr>
          <t xml:space="preserve">
Duplicate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 Cann-Polydor</author>
  </authors>
  <commentList>
    <comment ref="F1" authorId="0" shapeId="0" xr:uid="{562805BD-F936-43BE-8FFB-EE1AEE683F79}">
      <text>
        <r>
          <rPr>
            <b/>
            <sz val="9"/>
            <color indexed="81"/>
            <rFont val="Tahoma"/>
            <family val="2"/>
          </rPr>
          <t>Leo Cann-Polydor:</t>
        </r>
        <r>
          <rPr>
            <sz val="9"/>
            <color indexed="81"/>
            <rFont val="Tahoma"/>
            <family val="2"/>
          </rPr>
          <t xml:space="preserve">
In this column you'll find the name of each indicator asked by MFAT. It could differ from the column "EN" because sometimes it's a little different.
This way we have all the indicators asked by MFAT.</t>
        </r>
      </text>
    </comment>
    <comment ref="E27" authorId="0" shapeId="0" xr:uid="{685C3392-18F0-4F96-B28B-21E964F1C7C8}">
      <text>
        <r>
          <rPr>
            <b/>
            <sz val="9"/>
            <color indexed="81"/>
            <rFont val="Tahoma"/>
            <family val="2"/>
          </rPr>
          <t>Leo Cann-Polydor:</t>
        </r>
        <r>
          <rPr>
            <sz val="9"/>
            <color indexed="81"/>
            <rFont val="Tahoma"/>
            <family val="2"/>
          </rPr>
          <t xml:space="preserve">
Duplicate </t>
        </r>
      </text>
    </comment>
    <comment ref="E28" authorId="0" shapeId="0" xr:uid="{80140F3D-6593-4E07-8C6F-E7986B078934}">
      <text>
        <r>
          <rPr>
            <b/>
            <sz val="9"/>
            <color indexed="81"/>
            <rFont val="Tahoma"/>
            <family val="2"/>
          </rPr>
          <t>Leo Cann-Polydor:</t>
        </r>
        <r>
          <rPr>
            <sz val="9"/>
            <color indexed="81"/>
            <rFont val="Tahoma"/>
            <family val="2"/>
          </rPr>
          <t xml:space="preserve">
Duplicate </t>
        </r>
      </text>
    </comment>
    <comment ref="E80" authorId="0" shapeId="0" xr:uid="{AF596F4C-C745-4BD3-BF72-877C32BE6BFE}">
      <text>
        <r>
          <rPr>
            <b/>
            <sz val="9"/>
            <color indexed="81"/>
            <rFont val="Tahoma"/>
            <family val="2"/>
          </rPr>
          <t>Leo Cann-Polydor:</t>
        </r>
        <r>
          <rPr>
            <sz val="9"/>
            <color indexed="81"/>
            <rFont val="Tahoma"/>
            <family val="2"/>
          </rPr>
          <t xml:space="preserve">
Duplicate </t>
        </r>
      </text>
    </comment>
    <comment ref="E81" authorId="0" shapeId="0" xr:uid="{FA7844E8-70AF-4A8F-ADBC-550FE0AD0E06}">
      <text>
        <r>
          <rPr>
            <b/>
            <sz val="9"/>
            <color indexed="81"/>
            <rFont val="Tahoma"/>
            <family val="2"/>
          </rPr>
          <t>Leo Cann-Polydor:</t>
        </r>
        <r>
          <rPr>
            <sz val="9"/>
            <color indexed="81"/>
            <rFont val="Tahoma"/>
            <family val="2"/>
          </rPr>
          <t xml:space="preserve">
Duplicate </t>
        </r>
      </text>
    </comment>
    <comment ref="E82" authorId="0" shapeId="0" xr:uid="{97911BC1-15B2-43BA-84CE-EB49D443A980}">
      <text>
        <r>
          <rPr>
            <b/>
            <sz val="9"/>
            <color indexed="81"/>
            <rFont val="Tahoma"/>
            <family val="2"/>
          </rPr>
          <t>Leo Cann-Polydor:</t>
        </r>
        <r>
          <rPr>
            <sz val="9"/>
            <color indexed="81"/>
            <rFont val="Tahoma"/>
            <family val="2"/>
          </rPr>
          <t xml:space="preserve">
Duplicate </t>
        </r>
      </text>
    </comment>
    <comment ref="E83" authorId="0" shapeId="0" xr:uid="{63DD06F3-001D-48F9-8F2B-8113CBA461A0}">
      <text>
        <r>
          <rPr>
            <b/>
            <sz val="9"/>
            <color indexed="81"/>
            <rFont val="Tahoma"/>
            <family val="2"/>
          </rPr>
          <t>Leo Cann-Polydor:</t>
        </r>
        <r>
          <rPr>
            <sz val="9"/>
            <color indexed="81"/>
            <rFont val="Tahoma"/>
            <family val="2"/>
          </rPr>
          <t xml:space="preserve">
Duplicate </t>
        </r>
      </text>
    </comment>
    <comment ref="E105" authorId="0" shapeId="0" xr:uid="{83F574B5-559D-4AE6-993B-0C2B52A256E2}">
      <text>
        <r>
          <rPr>
            <b/>
            <sz val="9"/>
            <color indexed="81"/>
            <rFont val="Tahoma"/>
            <family val="2"/>
          </rPr>
          <t>Leo Cann-Polydor:</t>
        </r>
        <r>
          <rPr>
            <sz val="9"/>
            <color indexed="81"/>
            <rFont val="Tahoma"/>
            <family val="2"/>
          </rPr>
          <t xml:space="preserve">
Duplicate </t>
        </r>
      </text>
    </comment>
    <comment ref="E111" authorId="0" shapeId="0" xr:uid="{C5DC90F9-1D7B-449E-BF2F-1A5EC3CFA441}">
      <text>
        <r>
          <rPr>
            <b/>
            <sz val="9"/>
            <color indexed="81"/>
            <rFont val="Tahoma"/>
            <family val="2"/>
          </rPr>
          <t>Leo Cann-Polydor:</t>
        </r>
        <r>
          <rPr>
            <sz val="9"/>
            <color indexed="81"/>
            <rFont val="Tahoma"/>
            <family val="2"/>
          </rPr>
          <t xml:space="preserve">
Duplicate </t>
        </r>
      </text>
    </comment>
    <comment ref="E113" authorId="0" shapeId="0" xr:uid="{C0AA44B0-0202-45B6-AE0A-D5B30EF0412D}">
      <text>
        <r>
          <rPr>
            <b/>
            <sz val="9"/>
            <color indexed="81"/>
            <rFont val="Tahoma"/>
            <family val="2"/>
          </rPr>
          <t>Leo Cann-Polydor:</t>
        </r>
        <r>
          <rPr>
            <sz val="9"/>
            <color indexed="81"/>
            <rFont val="Tahoma"/>
            <family val="2"/>
          </rPr>
          <t xml:space="preserve">
Duplicate </t>
        </r>
      </text>
    </comment>
    <comment ref="E114" authorId="0" shapeId="0" xr:uid="{2DEA8927-F114-4996-B90F-0E1F6CC2D7E3}">
      <text>
        <r>
          <rPr>
            <b/>
            <sz val="9"/>
            <color indexed="81"/>
            <rFont val="Tahoma"/>
            <family val="2"/>
          </rPr>
          <t>Leo Cann-Polydor:</t>
        </r>
        <r>
          <rPr>
            <sz val="9"/>
            <color indexed="81"/>
            <rFont val="Tahoma"/>
            <family val="2"/>
          </rPr>
          <t xml:space="preserve">
Duplicate </t>
        </r>
      </text>
    </comment>
    <comment ref="E156" authorId="0" shapeId="0" xr:uid="{ECE56F04-9375-4D5A-8E75-D1EED4AA8D03}">
      <text>
        <r>
          <rPr>
            <b/>
            <sz val="9"/>
            <color indexed="81"/>
            <rFont val="Tahoma"/>
            <family val="2"/>
          </rPr>
          <t>Leo Cann-Polydor:</t>
        </r>
        <r>
          <rPr>
            <sz val="9"/>
            <color indexed="81"/>
            <rFont val="Tahoma"/>
            <family val="2"/>
          </rPr>
          <t xml:space="preserve">
Duplicate </t>
        </r>
      </text>
    </comment>
    <comment ref="E157" authorId="0" shapeId="0" xr:uid="{B7E22BDD-F027-4E1D-B22C-87201639C2FD}">
      <text>
        <r>
          <rPr>
            <b/>
            <sz val="9"/>
            <color indexed="81"/>
            <rFont val="Tahoma"/>
            <family val="2"/>
          </rPr>
          <t>Leo Cann-Polydor:</t>
        </r>
        <r>
          <rPr>
            <sz val="9"/>
            <color indexed="81"/>
            <rFont val="Tahoma"/>
            <family val="2"/>
          </rPr>
          <t xml:space="preserve">
Duplicate </t>
        </r>
      </text>
    </comment>
  </commentList>
</comments>
</file>

<file path=xl/sharedStrings.xml><?xml version="1.0" encoding="utf-8"?>
<sst xmlns="http://schemas.openxmlformats.org/spreadsheetml/2006/main" count="3695" uniqueCount="997">
  <si>
    <t>DO</t>
  </si>
  <si>
    <t>MFAT</t>
  </si>
  <si>
    <t>CD</t>
  </si>
  <si>
    <t>EN</t>
  </si>
  <si>
    <t>REG</t>
  </si>
  <si>
    <t>AS</t>
  </si>
  <si>
    <t>American Samoa</t>
  </si>
  <si>
    <t>POL</t>
  </si>
  <si>
    <t>CK</t>
  </si>
  <si>
    <t>Cook Islands</t>
  </si>
  <si>
    <t>FJ</t>
  </si>
  <si>
    <t>Fiji</t>
  </si>
  <si>
    <t>MEL</t>
  </si>
  <si>
    <t>FM</t>
  </si>
  <si>
    <t>Micronesia (Federated States of)</t>
  </si>
  <si>
    <t>MIC</t>
  </si>
  <si>
    <t>GU</t>
  </si>
  <si>
    <t>Guam</t>
  </si>
  <si>
    <t>KI</t>
  </si>
  <si>
    <t>Kiribati</t>
  </si>
  <si>
    <t>MH</t>
  </si>
  <si>
    <t>Marshall Islands</t>
  </si>
  <si>
    <t>MP</t>
  </si>
  <si>
    <t>Northern Mariana Islands</t>
  </si>
  <si>
    <t>NC</t>
  </si>
  <si>
    <t>New Caledonia</t>
  </si>
  <si>
    <t>NR</t>
  </si>
  <si>
    <t>Nauru</t>
  </si>
  <si>
    <t>NU</t>
  </si>
  <si>
    <t>Niue</t>
  </si>
  <si>
    <t>PF</t>
  </si>
  <si>
    <t>French Polynesia</t>
  </si>
  <si>
    <t>PG</t>
  </si>
  <si>
    <t>Papua New Guinea</t>
  </si>
  <si>
    <t>PN</t>
  </si>
  <si>
    <t>Pitcairn</t>
  </si>
  <si>
    <t>PW</t>
  </si>
  <si>
    <t>Palau</t>
  </si>
  <si>
    <t>SB</t>
  </si>
  <si>
    <t>Solomon Islands</t>
  </si>
  <si>
    <t>TK</t>
  </si>
  <si>
    <t>Tokelau</t>
  </si>
  <si>
    <t>TO</t>
  </si>
  <si>
    <t>Tonga</t>
  </si>
  <si>
    <t>TV</t>
  </si>
  <si>
    <t>Tuvalu</t>
  </si>
  <si>
    <t>VU</t>
  </si>
  <si>
    <t>Vanuatu</t>
  </si>
  <si>
    <t>WF</t>
  </si>
  <si>
    <t>Wallis and Futuna</t>
  </si>
  <si>
    <t>WS</t>
  </si>
  <si>
    <t>Samoa</t>
  </si>
  <si>
    <t>RID</t>
  </si>
  <si>
    <t>TYPE</t>
  </si>
  <si>
    <t>ID</t>
  </si>
  <si>
    <t>MFAT Indicator Name</t>
  </si>
  <si>
    <t>RENDERING</t>
  </si>
  <si>
    <t>DE</t>
  </si>
  <si>
    <t>API</t>
  </si>
  <si>
    <t>COMMENT</t>
  </si>
  <si>
    <t>DF</t>
  </si>
  <si>
    <t>comment 2025</t>
  </si>
  <si>
    <t>HEADING</t>
  </si>
  <si>
    <t>I</t>
  </si>
  <si>
    <t>Context</t>
  </si>
  <si>
    <t>-</t>
  </si>
  <si>
    <t>INDICATOR</t>
  </si>
  <si>
    <t>I.1</t>
  </si>
  <si>
    <t>Constitutional form</t>
  </si>
  <si>
    <t>TABLE</t>
  </si>
  <si>
    <t>https://stats.pacificdata.org/vis?fs[0]=Topic%2C0%7CMulti-domain%23XDO%23&amp;pg=0&amp;fc=Topic&amp;bp=true&amp;snb=6&amp;df[ds]=ds%3ASPC2&amp;df[id]=DF_KEYFACTS&amp;df[ag]=SPC&amp;df[vs]=1.0&amp;pd=2020%2C2021&amp;dq=A..GOV&amp;ly[rw]=GEO_PICT</t>
  </si>
  <si>
    <t>https://stats-sdmx-disseminate.pacificdata.org/rest/data/SPC,DF_KEYFACTS,1.0/A.[TAG_GEO].GOV?dimensionAtObservation=AllDimensions</t>
  </si>
  <si>
    <t>New</t>
  </si>
  <si>
    <t>I.2</t>
  </si>
  <si>
    <t>Head of State</t>
  </si>
  <si>
    <t>I.3</t>
  </si>
  <si>
    <t>Basis of Executive Legitimacy</t>
  </si>
  <si>
    <t>I.4</t>
  </si>
  <si>
    <t>SDG 5.5.1 - Number of parliamentary seats</t>
  </si>
  <si>
    <t>Number of parliamentary seats</t>
  </si>
  <si>
    <t>https://stats.pacificdata.org/vis?fs[0]=Development%20indicators%2C0%7CSustainable%20Development%20Goals%23SDG%23&amp;pg=0&amp;fc=Development%20indicators&amp;bp=true&amp;snb=18&amp;df[ds]=ds%3ASPC2&amp;df[id]=DF_SDG_05&amp;df[ag]=SPC&amp;df[vs]=3.0&amp;pd=2015%2C2022&amp;dq=A.SG_GEN_PARLNT.........&amp;ly[rw]=GEO_PICT&amp;ly[cl]=TIME_PERIOD</t>
  </si>
  <si>
    <t>https://stats-sdmx-disseminate.pacificdata.org/rest/data/SPC,DF_SDG_05,3.0/A.SG_GEN_PARLNT.[TAG_GEO]........?dimensionAtObservation=AllDimensions</t>
  </si>
  <si>
    <t>I.5</t>
  </si>
  <si>
    <t>Mid-year population estimate</t>
  </si>
  <si>
    <t>https://stats.pacificdata.org/vis?lc=en&amp;df[ds]=ds%3ASPC2&amp;df[id]=DF_POP_PROJ&amp;df[ag]=SPC&amp;df[vs]=3.0&amp;dq=A.[TAG_GEO].MIDYEARPOPEST._T._T&amp;pd=%2C&amp;ly[rw]=TIME_PERIOD</t>
  </si>
  <si>
    <t>https://stats-nsi-stable.pacificdata.org/rest/data/SPC,DF_POP_PROJ,3.0/A.[TAG_GEO].MIDYEARPOPEST._T._T?startPeriod=2015&amp;endPeriod=2025&amp;dimensionAtObservation=AllDimensions</t>
  </si>
  <si>
    <t>I.6</t>
  </si>
  <si>
    <t>Urban population (%)</t>
  </si>
  <si>
    <t>https://stats.pacificdata.org/vis?lc=en&amp;df[ds]=ds%3ASPC2&amp;df[id]=DF_POP_URBAN&amp;df[ag]=SPC&amp;df[vs]=1.0&amp;dq=A.[TAG_GEO].POPRFCOU.U&amp;pd=%2C&amp;ly[rw]=TIME_PERIOD</t>
  </si>
  <si>
    <t>https://stats-nsi-stable.pacificdata.org/rest/data/SPC,DF_POP_URBAN,1.0/A.[TAG_GEO].POPRFCOU.U?dimensionAtObservation=AllDimensions</t>
  </si>
  <si>
    <t>I.7</t>
  </si>
  <si>
    <t>Population Median Age (Years)</t>
  </si>
  <si>
    <t>https://stats.pacificdata.org/vis?lc=en&amp;df[ds]=ds%3ASPC2&amp;df[id]=DF_POP_AGE&amp;df[ag]=SPC&amp;df[vs]=1.0&amp;dq=A.[TAG_GEO].MEDIANAGE._T&amp;pd=%2C&amp;ly[rw]=TIME_PERIOD</t>
  </si>
  <si>
    <t>https://stats-nsi-stable.pacificdata.org/rest/data/SPC,DF_POP_AGE,1.0/A.[TAG_GEO].MEDIANAGE._T?dimensionAtObservation=AllDimensions</t>
  </si>
  <si>
    <t>I.8</t>
  </si>
  <si>
    <t>Population growth rate over 1 year</t>
  </si>
  <si>
    <t>https://stats.pacificdata.org/vis?lc=en&amp;df[ds]=ds%3ASPC2&amp;df[id]=DF_POP_PROJ&amp;df[ag]=SPC&amp;df[vs]=3.0&amp;dq=A.[TAG_GEO].POPYGR._T._T&amp;pd=%2C&amp;ly[rw]=TIME_PERIOD</t>
  </si>
  <si>
    <t>https://stats-nsi-stable.pacificdata.org/rest/data/SPC,DF_POP_PROJ,3.0/A.[TAG_GEO].POPYGR._T._T?dimensionAtObservation=AllDimensions</t>
  </si>
  <si>
    <t>I.9</t>
  </si>
  <si>
    <t>Average household size</t>
  </si>
  <si>
    <t>https://stats.pacificdata.org/vis?lc=en&amp;df[ds]=ds%3ASPC2&amp;df[id]=DF_HHCOUNTS&amp;df[ag]=SPC&amp;df[vs]=1.0&amp;dq=A.[TAG_GEO].HHSZ&amp;pd=%2C&amp;ly[rw]=TIME_PERIOD</t>
  </si>
  <si>
    <t>https://stats-nsi-stable.pacificdata.org/rest/data/SPC,DF_HHCOUNTS,1.0/A.[TAG_GEO].HHSZ?dimensionAtObservation=AllDimensions</t>
  </si>
  <si>
    <t>I.10</t>
  </si>
  <si>
    <t>Population density (km2)</t>
  </si>
  <si>
    <t>https://stats.pacificdata.org/vis?lc=en&amp;df[ds]=ds%3ASPC2&amp;df[id]=DF_POP_DENSITY&amp;df[ag]=SPC&amp;df[vs]=1.0&amp;dq=A.[TAG_GEO].POPDENSITY&amp;pd=%2C&amp;ly[rw]=TIME_PERIOD</t>
  </si>
  <si>
    <t>https://stats-nsi-stable.pacificdata.org/rest/data/SPC,DF_POP_DENSITY,1.0/A.[TAG_GEO].POPDENSITY?dimensionAtObservation=AllDimensions</t>
  </si>
  <si>
    <t>I.11</t>
  </si>
  <si>
    <t>Dependency ratio (15-64)</t>
  </si>
  <si>
    <t>Dependency ratio</t>
  </si>
  <si>
    <t>https://stats.pacificdata.org/vis?lc=en&amp;df[ds]=ds%3ASPC2&amp;df[id]=DF_POP_AGE&amp;df[ag]=SPC&amp;df[vs]=1.0&amp;dq=A.[TAG_GEO].DEPRATIO1564._T&amp;pd=%2C&amp;ly[rw]=TIME_PERIOD</t>
  </si>
  <si>
    <t>https://stats-nsi-stable.pacificdata.org/rest/data/SPC,DF_POP_AGE,1.0/A.[TAG_GEO].DEPRATIO1564._T?dimensionAtObservation=AllDimensions</t>
  </si>
  <si>
    <t>I.12</t>
  </si>
  <si>
    <t>Proportion of youth (15-24)</t>
  </si>
  <si>
    <t>Age dependency ratio, young (% of working-age population)</t>
  </si>
  <si>
    <t>https://stats.pacificdata.org/vis?tm=population&amp;pg=0&amp;hc[Topic]=Population&amp;snb=42&amp;df[ds]=ds%3ASPC2&amp;df[id]=DF_POP_AGE&amp;df[ag]=SPC&amp;df[vs]=1.0&amp;pd=%2C&amp;dq=A..POPYOUTH._T&amp;ly[rw]=GEO_PICT&amp;to[TIME_PERIOD]=false</t>
  </si>
  <si>
    <t>https://stats-sdmx-disseminate.pacificdata.org/rest/data/SPC,DF_POP_AGE,1.0/A..POPYOUTH._T?dimensionAtObservation=AllDimensions</t>
  </si>
  <si>
    <t>New 2024</t>
  </si>
  <si>
    <t>I.13</t>
  </si>
  <si>
    <t>% of population that lives within 1km of the coast</t>
  </si>
  <si>
    <t>https://stats.pacificdata.org/vis?lc=en&amp;df[ds]=ds%3ASPC2&amp;df[id]=DF_POP_COAST&amp;df[ag]=SPC&amp;df[vs]=2.0&amp;dq=A.[TAG_GEO].COASTALPOPRF.1KM&amp;pd=%2C&amp;ly[rw]=TIME_PERIOD</t>
  </si>
  <si>
    <t>https://stats-nsi-stable.pacificdata.org/rest/data/SPC,DF_POP_COAST,2.0/A.[TAG_GEO].COASTALPOPRF.1KM?dimensionAtObservation=AllDimensions</t>
  </si>
  <si>
    <t>I.14</t>
  </si>
  <si>
    <t>% of population that lives within 5km of the coast</t>
  </si>
  <si>
    <t>https://stats.pacificdata.org/vis?lc=en&amp;df[ds]=ds%3ASPC2&amp;df[id]=DF_POP_COAST&amp;df[ag]=SPC&amp;df[vs]=2.0&amp;dq=A.[TAG_GEO].COASTALPOPRF.5KM&amp;pd=%2C&amp;ly[rw]=TIME_PERIOD</t>
  </si>
  <si>
    <t>https://stats-nsi-stable.pacificdata.org/rest/data/SPC,DF_POP_COAST,2.0/A.[TAG_GEO].COASTALPOPRF.5KM?dimensionAtObservation=AllDimensions</t>
  </si>
  <si>
    <t>I.15</t>
  </si>
  <si>
    <t>% of population that lives within 10km of the coast</t>
  </si>
  <si>
    <t>https://stats.pacificdata.org/vis?lc=en&amp;df[ds]=ds%3ASPC2&amp;df[id]=DF_POP_COAST&amp;df[ag]=SPC&amp;df[vs]=2.0&amp;dq=A.[TAG_GEO].COASTALPOPRF.10KM&amp;pd=%2C&amp;ly[rw]=TIME_PERIOD</t>
  </si>
  <si>
    <t>https://stats-nsi-stable.pacificdata.org/rest/data/SPC,DF_POP_COAST,2.0/A.[TAG_GEO].COASTALPOPRF.10KM?dimensionAtObservation=AllDimensions</t>
  </si>
  <si>
    <t>I.16</t>
  </si>
  <si>
    <t>Land area (km2)</t>
  </si>
  <si>
    <t>https://stats.pacificdata.org/vis?lc=en&amp;df[ds]=ds%3ASPC2&amp;df[id]=DF_POP_DENSITY&amp;df[ag]=SPC&amp;df[vs]=1.0&amp;dq=A.[TAG_GEO].LANDAREA&amp;pd=%2C&amp;ly[rw]=TIME_PERIOD</t>
  </si>
  <si>
    <t>https://stats-nsi-stable.pacificdata.org/rest/data/SPC,DF_POP_DENSITY,1.0/A.[TAG_GEO].LANDAREA?dimensionAtObservation=AllDimensions</t>
  </si>
  <si>
    <t>I.17</t>
  </si>
  <si>
    <t>Forest Area (%)</t>
  </si>
  <si>
    <t>https://stats.pacificdata.org/vis?lc=en&amp;df[ds]=ds%3ASPC2&amp;df[id]=DF_WBWDI&amp;df[ag]=SPC&amp;df[vs]=1.0&amp;dq=A.[TAG_GEO].AG_LND_FRST_ZS&amp;pd=%2C&amp;ly[rw]=TIME_PERIOD</t>
  </si>
  <si>
    <t>https://stats-nsi-stable.pacificdata.org/rest/data/SPC,DF_WBWDI,1.0/A.[TAG_GEO].AG_LND_FRST_ZS?dimensionAtObservation=AllDimensions</t>
  </si>
  <si>
    <t>Relaunch land use</t>
  </si>
  <si>
    <t>I.18</t>
  </si>
  <si>
    <t>Agricultural Land (%)</t>
  </si>
  <si>
    <t>https://stats.pacificdata.org/vis?lc=en&amp;df[ds]=ds%3ASPC2&amp;df[id]=DF_WBWDI&amp;df[ag]=SPC&amp;df[vs]=1.0&amp;dq=A.[TAG_GEO].AG_LND_AGRI_ZS&amp;pd=%2C&amp;ly[rw]=TIME_PERIOD</t>
  </si>
  <si>
    <t>https://stats-nsi-stable.pacificdata.org/rest/data/SPC,DF_WBWDI,1.0/A.[TAG_GEO].AG_LND_AGRI_ZS?dimensionAtObservation=AllDimensions</t>
  </si>
  <si>
    <t>I.19</t>
  </si>
  <si>
    <t>Environmental Sustainability</t>
  </si>
  <si>
    <t>I.20</t>
  </si>
  <si>
    <t>Ethnic fractionalisation</t>
  </si>
  <si>
    <t>I.21</t>
  </si>
  <si>
    <t>Language fractionalisation</t>
  </si>
  <si>
    <t>I.22</t>
  </si>
  <si>
    <t>Religion fractionalisation</t>
  </si>
  <si>
    <t>PICTURE</t>
  </si>
  <si>
    <t>I.23</t>
  </si>
  <si>
    <t>Population pyramid</t>
  </si>
  <si>
    <t>Pyramide de population</t>
  </si>
  <si>
    <t>PP</t>
  </si>
  <si>
    <t>II</t>
  </si>
  <si>
    <t>Health</t>
  </si>
  <si>
    <t>II.1</t>
  </si>
  <si>
    <t>Life expectancy at birth (male)</t>
  </si>
  <si>
    <t>Life expectancy at birth, by sex</t>
  </si>
  <si>
    <t>CHART</t>
  </si>
  <si>
    <t>https://stats.pacificdata.org/vis?tm=expectancy&amp;pg=0&amp;df[ds]=ds%3ASPC2&amp;df[id]=DF_VITAL&amp;df[ag]=SPC&amp;df[vs]=1.0&amp;pd=%2C&amp;dq=A.[TAG_GEO].LEB.M&amp;ly[cl]=TIME_PERIOD</t>
  </si>
  <si>
    <t>https://stats-nsi-stable.pacificdata.org/rest/data/SPC,DF_VITAL,1.0/A.[TAG_GEO].LEB.M?dimensionAtObservation=AllDimensions</t>
  </si>
  <si>
    <t>II.2</t>
  </si>
  <si>
    <t>Life expectancy at birth (female)</t>
  </si>
  <si>
    <t>https://stats.pacificdata.org/vis?tm=expectancy&amp;pg=0&amp;df[ds]=ds%3ASPC2&amp;df[id]=DF_VITAL&amp;df[ag]=SPC&amp;df[vs]=1.0&amp;pd=%2C&amp;dq=A.[TAG_GEO].LEB.F&amp;ly[cl]=TIME_PERIOD</t>
  </si>
  <si>
    <t>https://stats-nsi-stable.pacificdata.org/rest/data/SPC,DF_VITAL,1.0/A.[TAG_GEO].LEB.F?dimensionAtObservation=AllDimensions</t>
  </si>
  <si>
    <t>II.3</t>
  </si>
  <si>
    <t>Total fertility rate</t>
  </si>
  <si>
    <t>https://stats.pacificdata.org/vis?tm=fertility&amp;pg=0&amp;df[ds]=ds%3ASPC2&amp;df[id]=DF_VITAL&amp;df[ag]=SPC&amp;df[vs]=1.0&amp;pd=%2C&amp;dq=A.[TAG_GEO].TFR.&amp;ly[cl]=TIME_PERIOD</t>
  </si>
  <si>
    <t>https://stats-nsi-stable.pacificdata.org/rest/data/SPC,DF_VITAL,1.0/A.[TAG_GEO].TFR.?dimensionAtObservation=AllDimensions</t>
  </si>
  <si>
    <t>Was DF_POKCET</t>
  </si>
  <si>
    <t>II.4</t>
  </si>
  <si>
    <t>SDG 3.7.2 - Adolescent fertility rate (aged 15-19)</t>
  </si>
  <si>
    <t>Adolescent fertility rate</t>
  </si>
  <si>
    <t>https://stats.pacificdata.org/vis?tm=adol&amp;pg=0&amp;snb=5&amp;df[ds]=ds%3ASPC2&amp;df[id]=DF_SDG_03&amp;df[ag]=SPC&amp;df[vs]=3.0&amp;pd=%2C&amp;dq=A.SP_DYN_ADKL..F.Y15T19._T..._T._Z.&amp;ly[rw]=GEO_PICT&amp;ly[cl]=TIME_PERIOD</t>
  </si>
  <si>
    <t>https://stats-sdmx-disseminate.pacificdata.org/rest/data/SPC,DF_SDG_03,3.0/A.SP_DYN_ADKL.[TAG_GEO].F.Y15T19._T.....?dimensionAtObservation=AllDimensions</t>
  </si>
  <si>
    <t>New / flag 3</t>
  </si>
  <si>
    <t>II.5</t>
  </si>
  <si>
    <t>SDG 3.1.1 - Maternal mortality ratio (per 100,000 live births)</t>
  </si>
  <si>
    <t>Maternal mortality ratio (per 100,000 live births)</t>
  </si>
  <si>
    <t>https://stats.pacificdata.org/vis?lc=en&amp;df[ds]=ds%3ASPC2&amp;df[id]=DF_SDG_03&amp;df[ag]=SPC&amp;df[vs]=3.0&amp;dq=A.SH_STA_MORT.[TAG_GEO].F._T._T..._T._Z.&amp;pd=%2C&amp;ly[cl]=TIME_PERIOD&amp;tm=maternal&amp;pg=0</t>
  </si>
  <si>
    <t>https://stats-nsi-stable.pacificdata.org/rest/data/SPC,DF_SDG_03,3.0/A.SH_STA_MORT.[TAG_GEO].F._T._T..._T._Z.?dimensionAtObservation=AllDimensions</t>
  </si>
  <si>
    <t>flag SDG</t>
  </si>
  <si>
    <t>II.6</t>
  </si>
  <si>
    <t>SDG 3.2 .1 - Infant mortality rate (per 1,000 live births)</t>
  </si>
  <si>
    <t>Child mortality rates (per 1,000 live births)</t>
  </si>
  <si>
    <t>https://stats.pacificdata.org/vis?lc=en&amp;df[ds]=SPC2&amp;df[id]=DF_SDG_03&amp;df[ag]=SPC&amp;df[vs]=3.0&amp;dq=.SH_DYN_IMRT.[TAG_GEO]._T.......&amp;pd=%2C&amp;ly[cl]=TIME_PERIOD</t>
  </si>
  <si>
    <t>https://stats-nsi-stable.pacificdata.org/rest/data/SPC,DF_SDG_03,3.0/.SH_DYN_IMRT.[TAG_GEO]._T.......?dimensionAtObservation=AllDimensions</t>
  </si>
  <si>
    <t>Added sex=_T / flag SDG</t>
  </si>
  <si>
    <t>II.7</t>
  </si>
  <si>
    <t>SDG 2.2.1 - Proportion of children moderately or severely stunted (children under 5)</t>
  </si>
  <si>
    <t>Prevalence of stunting, height for age (% of children under 5)</t>
  </si>
  <si>
    <t>https://stats.pacificdata.org/vis?tm=hunger&amp;pg=0&amp;df[ds]=ds%3ASPC2&amp;df[id]=DF_SDG_02&amp;df[ag]=SPC&amp;df[vs]=3.0&amp;pd=%2C&amp;dq=A.SH_STA_STNT.[TAG_GEO]._T.Y00T04......&amp;ly[cl]=TIME_PERIOD</t>
  </si>
  <si>
    <t>https://stats-nsi-stable.pacificdata.org/rest/data/SPC,DF_SDG_02,3.0/A.SH_STA_STNT.[TAG_GEO]._T.Y00T04......?dimensionAtObservation=AllDimensions</t>
  </si>
  <si>
    <t>II.8</t>
  </si>
  <si>
    <t>SDG 3.1.2 - Births attended by skilled health personnel</t>
  </si>
  <si>
    <t>Skilled birth attendance</t>
  </si>
  <si>
    <t>https://stats.pacificdata.org/vis?lc=en&amp;tm=sdg%20health&amp;pg=0&amp;df[ds]=ds%3ASPC2&amp;df[id]=DF_SDG_03&amp;df[ag]=SPC&amp;df[vs]=3.0&amp;pd=%2C&amp;dq=A.SH_STA_BRTC.[TAG_GEO]._T._T._T..._T._Z.&amp;ly[cl]=TIME_PERIOD</t>
  </si>
  <si>
    <t>https://stats-nsi-stable.pacificdata.org/rest/data/SPC,DF_SDG_03,3.0/A.SH_STA_BRTC.[TAG_GEO]._T._T._T..._T._Z.?dimensionAtObservation=AllDimensions</t>
  </si>
  <si>
    <t>II.9</t>
  </si>
  <si>
    <t>Contraceptive prevalence rate (%)</t>
  </si>
  <si>
    <t>Modern contraceptive prevalence rate</t>
  </si>
  <si>
    <t>https://stats.pacificdata.org/vis?tm=contraceptive&amp;pg=0&amp;snb=6&amp;df[ds]=ds%3ASPC2&amp;df[id]=DF_NMDI_HEA&amp;df[ag]=SPC&amp;df[vs]=1.0&amp;pd=%2C&amp;dq=A..NMDI0116._T._T._T..&amp;ly[rw]=GEO_PICT&amp;ly[cl]=TIME_PERIOD</t>
  </si>
  <si>
    <t>https://stats-sdmx-disseminate.pacificdata.org/rest/data/SPC,DF_NMDI_HEA,1.0/A.[TAG_GEO].NMDI0116.._T._T..?dimensionAtObservation=AllDimensions</t>
  </si>
  <si>
    <t>II.10</t>
  </si>
  <si>
    <t>SDG 3.7.1 - Met need for family planning, modern methods (Women, 15-49 years old)</t>
  </si>
  <si>
    <t>Met need for family planning, modern methods</t>
  </si>
  <si>
    <t>https://stats.pacificdata.org/vis?lc=en&amp;tm=sdg%20health&amp;pg=0&amp;df[ds]=ds%3ASPC2&amp;df[id]=DF_SDG_03&amp;df[ag]=SPC&amp;df[vs]=3.0&amp;pd=%2C&amp;dq=A.SH_FPL_MTMM.[TAG_GEO].F.Y15T49._T..._T._Z.</t>
  </si>
  <si>
    <t>https://stats-nsi-stable.pacificdata.org/rest/data/SPC,DF_SDG_03,3.0/A.SH_FPL_MTMM.[TAG_GEO].F.Y15T49._T..._T._Z.?dimensionAtObservation=AllDimensions</t>
  </si>
  <si>
    <t>II.11</t>
  </si>
  <si>
    <t>Proportion of 1 year old children immunized against measles (%)</t>
  </si>
  <si>
    <t>Immunisation coverage by vaccine (three main types - DPT, HepB3, Measles)</t>
  </si>
  <si>
    <t>https://stats.pacificdata.org/vis?fs[0]=Development%20indicators%2C0%7CNational%20Minimum%20Development%20Indicators%23NMDI%23&amp;pg=0&amp;fc=Development%20indicators&amp;bp=true&amp;snb=8&amp;df[ds]=ds%3ASPC2&amp;df[id]=DF_NMDI_HEA&amp;df[ag]=SPC&amp;df[vs]=1.0&amp;pd=%2C&amp;dq=A..NMDI0103._T._T._T..&amp;ly[rw]=GEO_PICT&amp;ly[cl]=TIME_PERIOD&amp;to[TIME_PERIOD]=false</t>
  </si>
  <si>
    <t xml:space="preserve">https://stats-sdmx-disseminate.pacificdata.org/rest/data/SPC,DF_NMDI_HEA,1.0/A..NMDI0103._T._T._T..?dimensionAtObservation=AllDimensions </t>
  </si>
  <si>
    <t>II.12</t>
  </si>
  <si>
    <t>Proportion of one year olds fully immunized against EPI target diseases (3 doses diptheria, tetanus, toxoid &amp; pertussis) (%)</t>
  </si>
  <si>
    <t>https://stats.pacificdata.org/vis?fs[0]=Development%20indicators%2C0%7CNational%20Minimum%20Development%20Indicators%23NMDI%23&amp;pg=0&amp;fc=Development%20indicators&amp;bp=true&amp;snb=8&amp;df[ds]=ds%3ASPC2&amp;df[id]=DF_NMDI_HEA&amp;df[ag]=SPC&amp;df[vs]=1.0&amp;pd=%2C&amp;dq=A..NMDI0145._T._T._T..&amp;ly[rw]=GEO_PICT&amp;ly[cl]=TIME_PERIOD&amp;to[TIME_PERIOD]=false</t>
  </si>
  <si>
    <t>https://stats-sdmx-disseminate.pacificdata.org/rest/data/SPC,DF_NMDI_HEA,1.0/A..NMDI0145._T._T._T..?dimensionAtObservation=AllDimensions</t>
  </si>
  <si>
    <t>II.13</t>
  </si>
  <si>
    <t>Proportion of one year olds fully immunized against EPI target diseases (3 doses hepatitis B - HepB3) (%)</t>
  </si>
  <si>
    <t>https://stats.pacificdata.org/vis?fs[0]=Development%20indicators%2C0%7CNational%20Minimum%20Development%20Indicators%23NMDI%23&amp;pg=0&amp;fc=Development%20indicators&amp;bp=true&amp;snb=8&amp;df[ds]=ds%3ASPC2&amp;df[id]=DF_NMDI_HEA&amp;df[ag]=SPC&amp;df[vs]=1.0&amp;pd=%2C&amp;dq=A..NMDI0146._T._T._T..&amp;ly[rw]=GEO_PICT&amp;ly[cl]=TIME_PERIOD&amp;to[TIME_PERIOD]=false</t>
  </si>
  <si>
    <t>https://stats-sdmx-disseminate.pacificdata.org/rest/data/SPC,DF_NMDI_HEA,1.0/A..NMDI0146._T._T._T..?dimensionAtObservation=AllDimensions</t>
  </si>
  <si>
    <t>II.14</t>
  </si>
  <si>
    <t>Mortality rate attributed to cardiovascular disease, cancer, chronic respiratory disease or diabetes</t>
  </si>
  <si>
    <t>https://stats.pacificdata.org/vis?lc=en&amp;tm=mortality%20rate&amp;pg=0&amp;df[ds]=ds%3ASPC2&amp;df[id]=DF_NMDI_HEA&amp;df[ag]=SPC&amp;df[vs]=1.0&amp;pd=%2C&amp;dq=A.[TAG_GEO].SH_DTH_NCD._T._T._T..&amp;ly[cl]=TIME_PERIOD</t>
  </si>
  <si>
    <t>https://stats-nsi-stable.pacificdata.org/rest/data/SPC,DF_NMDI_HEA,1.0/A.[TAG_GEO].SH_DTH_NCD._T._T._T..?dimensionAtObservation=AllDimensions</t>
  </si>
  <si>
    <t>II.15</t>
  </si>
  <si>
    <t>Prevalence of overweight or obese adults - BMI &gt;= 25.0</t>
  </si>
  <si>
    <t>Prevalence of obesity among adults (%)</t>
  </si>
  <si>
    <t>https://stats.pacificdata.org/vis?tm=health&amp;pg=0&amp;df[ds]=ds%3ASPC2&amp;df[id]=DF_NMDI_HEA&amp;df[ag]=SPC&amp;df[vs]=1.0&amp;pd=%2C&amp;dq=A.[TAG_GEO].NMDI0131._T._T._T..</t>
  </si>
  <si>
    <t>https://stats-nsi-stable.pacificdata.org/rest/data/SPC,DF_NMDI_HEA,1.0/A.[TAG_GEO].NMDI0131._T._T._T..?dimensionAtObservation=AllDimensions</t>
  </si>
  <si>
    <t>II.16</t>
  </si>
  <si>
    <t>SDG 3.a.1 - Age-standardised prevalence of current tobacco use</t>
  </si>
  <si>
    <t>Tobacco use prevalence  in adults and youth</t>
  </si>
  <si>
    <t>https://stats.pacificdata.org/vis?tm=tobacco%20use%20prevalence&amp;pg=0&amp;snb=4&amp;df[ds]=ds%3ASPC2&amp;df[id]=DF_SDG_03&amp;df[ag]=SPC&amp;df[vs]=3.0&amp;pd=2015%2C2022&amp;dq=A.SH_PRV_SMOK.........&amp;ly[rw]=GEO_PICT%2CSEX%2CAGE&amp;ly[cl]=TIME_PERIOD</t>
  </si>
  <si>
    <t>https://stats-sdmx-disseminate.pacificdata.org/rest/data/SPC,DF_SDG_03,3.0/A.SH_PRV_SMOK.[TAG_GEO]._T._T._T..._T._Z.?dimensionAtObservation=AllDimensions</t>
  </si>
  <si>
    <t>II.17</t>
  </si>
  <si>
    <t>SDG 3.8.1 - Coverage of essential health services</t>
  </si>
  <si>
    <t>Universal Health Coverage Service Index</t>
  </si>
  <si>
    <t>https://stats.pacificdata.org/vis?lc=en&amp;df[ds]=SPC2&amp;df[id]=DF_SDG_03&amp;df[ag]=SPC&amp;df[vs]=3.0&amp;dq=.SPC_3_8_1.[TAG_GEO]........&amp;pd=%2C&amp;ly[cl]=TIME_PERIOD</t>
  </si>
  <si>
    <t>https://stats-nsi-stable.pacificdata.org/rest/data/SPC,DF_SDG_03,3.0/.SPC_3_8_1.[TAG_GEO]........?dimensionAtObservation=AllDimensions</t>
  </si>
  <si>
    <t>II.18</t>
  </si>
  <si>
    <t>SDG 3.c.1 - Health worker density for nurses and midwives (per 10,000)</t>
  </si>
  <si>
    <t>Nurses and midwives (per 1,000 people)</t>
  </si>
  <si>
    <t>https://stats.pacificdata.org/vis?dq=A.SH_MED_DEN.[TAG_GEO]._T._T._T._T._T.222._Z._T&amp;pd=%2C&amp;frequency=A&amp;lc=en&amp;pg=0&amp;df[ds]=SPC2&amp;df[id]=DF_SDG_03&amp;df[ag]=SPC&amp;df[vs]=3.0&amp;ly[cl]=TIME_PERIOD</t>
  </si>
  <si>
    <t>https://stats-nsi-stable.pacificdata.org/rest/data/SPC,DF_SDG_03,3.0/A.SH_MED_DEN.[TAG_GEO]._T._T._T._T._T.222._Z._T?dimensionAtObservation=AllDimensions</t>
  </si>
  <si>
    <t>II.19</t>
  </si>
  <si>
    <t>SDG 3.c.1 - Health worker density for medical doctors (per 10,000)</t>
  </si>
  <si>
    <t>Health worker density</t>
  </si>
  <si>
    <t>https://stats.pacificdata.org/vis?dq=A.SH_MED_DEN.._T._T._T._T._T.221._Z._T&amp;pd=%2C&amp;frequency=A&amp;lc=en&amp;pg=0&amp;df[ds]=SPC2&amp;df[id]=DF_SDG_03&amp;df[ag]=SPC&amp;df[vs]=3.0&amp;ly[cl]=TIME_PERIOD&amp;to[TIME_PERIOD]=false</t>
  </si>
  <si>
    <t>https://stats-sdmx-disseminate.pacificdata.org/rest/data/SPC,DF_SDG_03,3.0/A.SH_MED_DEN.._T._T._T._T._T.221._Z._T?dimensionAtObservation=AllDimensions</t>
  </si>
  <si>
    <t>New 2024 + flag SDG</t>
  </si>
  <si>
    <t>II.20</t>
  </si>
  <si>
    <t>SDG 3.c.1 - Health worker density for dentists (per 10,000)</t>
  </si>
  <si>
    <t>https://stats.pacificdata.org/vis?dq=A.SH_MED_DEN.._T._T._T._T._T.2261._Z._T&amp;pd=%2C&amp;frequency=A&amp;lc=en&amp;pg=0&amp;df[ds]=SPC2&amp;df[id]=DF_SDG_03&amp;df[ag]=SPC&amp;df[vs]=3.0&amp;ly[cl]=TIME_PERIOD&amp;to[TIME_PERIOD]=false</t>
  </si>
  <si>
    <t>https://stats-sdmx-disseminate.pacificdata.org/rest/data/SPC,DF_SDG_03,3.0/A.SH_MED_DEN.._T._T._T._T._T.2261._Z._T?dimensionAtObservation=AllDimensions</t>
  </si>
  <si>
    <t>II.21</t>
  </si>
  <si>
    <t>SDG 3.c.1 - Health worker density for pharmacists (per 10,000)</t>
  </si>
  <si>
    <t>https://stats.pacificdata.org/vis?dq=A.SH_MED_DEN.._T._T._T._T._T.2262._Z._T&amp;pd=%2C&amp;frequency=A&amp;lc=en&amp;pg=0&amp;df[ds]=SPC2&amp;df[id]=DF_SDG_03&amp;df[ag]=SPC&amp;df[vs]=3.0&amp;ly[cl]=TIME_PERIOD&amp;to[TIME_PERIOD]=false</t>
  </si>
  <si>
    <t>https://stats-sdmx-disseminate.pacificdata.org/rest/data/SPC,DF_SDG_03,3.0/A.SH_MED_DEN.._T._T._T._T._T.2262._Z._T?dimensionAtObservation=AllDimensions</t>
  </si>
  <si>
    <t>II.22</t>
  </si>
  <si>
    <t>SDG 3.d.1 - International Health Regulations (IHR) core capacity index</t>
  </si>
  <si>
    <t>International Health Regulations (IHR) core capacity index</t>
  </si>
  <si>
    <t>https://stats.pacificdata.org/vis?lc=en&amp;tm=sdg%20health&amp;pg=0&amp;df[ds]=ds%3ASPC2&amp;df[id]=DF_SDG_03&amp;df[ag]=SPC&amp;df[vs]=3.0&amp;pd=%2C&amp;dq=A.SH_IHR_CAPS.[TAG_GEO]._T._T._T..._T._Z.</t>
  </si>
  <si>
    <t>https://stats-nsi-stable.pacificdata.org/rest/data/SPC,DF_SDG_03,3.0/A.SH_IHR_CAPS.[TAG_GEO]._T._T._T..._T._Z.?dimensionAtObservation=AllDimensions</t>
  </si>
  <si>
    <t>II.23</t>
  </si>
  <si>
    <t>NCD - Health system response programmes (six sub-components)</t>
  </si>
  <si>
    <t>III</t>
  </si>
  <si>
    <t>Education</t>
  </si>
  <si>
    <t>III.1</t>
  </si>
  <si>
    <t>Education drop-out rates (%)</t>
  </si>
  <si>
    <t>Education drop-out rates (%) (by sex and school year</t>
  </si>
  <si>
    <t>https://stats.pacificdata.org/vis?lc=en&amp;df[ds]=ds%3ASPC2&amp;df[id]=DF_NMDI_EDU&amp;df[ag]=SPC&amp;df[vs]=1.0&amp;dq=A.[TAG_GEO].NMDI0429._T._T._T..&amp;pd=%2C&amp;tm=education&amp;pg=0&amp;ly[cl]=TIME_PERIOD</t>
  </si>
  <si>
    <t>https://stats-nsi-stable.pacificdata.org/rest/data/SPC,DF_NMDI_EDU,1.0/A.[TAG_GEO].NMDI0429._T._T._T..?dimensionAtObservation=AllDimensions</t>
  </si>
  <si>
    <t>III.2</t>
  </si>
  <si>
    <t>Government expenditure on education as % of total government expenditure</t>
  </si>
  <si>
    <t>https://stats.pacificdata.org/vis?tm=education&amp;pg=0&amp;df[ds]=ds%3ASPC2&amp;df[id]=DF_NMDI_EDU&amp;df[ag]=SPC&amp;df[vs]=1.0&amp;pd=%2C&amp;dq=A.[TAG_GEO].NMDI0020._T._T._T..</t>
  </si>
  <si>
    <t>https://stats-nsi-stable.pacificdata.org/rest/data/SPC,DF_NMDI_EDU,1.0/A.[TAG_GEO].NMDI0020._T._T._T..?dimensionAtObservation=AllDimensions</t>
  </si>
  <si>
    <t>III.3</t>
  </si>
  <si>
    <t>SDG 4.5.1 - Gender parity index for achievement</t>
  </si>
  <si>
    <t>Ratio of girls to boys in primary, secondary and tertiary education: Gender Parity Index</t>
  </si>
  <si>
    <t>https://stats.pacificdata.org/vis?tm=education&amp;pg=0&amp;df[ds]=ds%3ASPC2&amp;df[id]=DF_SDG_04&amp;df[ag]=SPC&amp;df[vs]=3.0&amp;pd=%2C&amp;dq=A.SE_TOT_GPI.[TAG_GEO]._T._T._T._T._T._T._Z.</t>
  </si>
  <si>
    <t>https://stats-nsi-stable.pacificdata.org/rest/data/SPC,DF_SDG_04,3.0/A.SE_TOT_GPI.[TAG_GEO]._T._T._T._T._T._T._Z.?dimensionAtObservation=AllDimensions</t>
  </si>
  <si>
    <t>III.4</t>
  </si>
  <si>
    <t>SDG 4.3.1 - Participation rate in formal and non-formal education and training</t>
  </si>
  <si>
    <t>Participation rate of youth and adults in formal and non-formal education and training in the previous 12 months, by sex</t>
  </si>
  <si>
    <t>https://stats.pacificdata.org/vis?tm=education&amp;pg=0&amp;df[ds]=ds%3ASPC2&amp;df[id]=DF_SDG_04&amp;df[ag]=SPC&amp;df[vs]=3.0&amp;pd=%2C&amp;dq=A.SE_ADT_EDUCTRN.[TAG_GEO]._T._T._T._T._T._T._Z.</t>
  </si>
  <si>
    <t>https://stats-nsi-stable.pacificdata.org/rest/data/SPC,DF_SDG_04,3.0/A.SE_ADT_EDUCTRN.[TAG_GEO]._T._T._T._T._T._T._Z.?dimensionAtObservation=AllDimensions</t>
  </si>
  <si>
    <t>III.5</t>
  </si>
  <si>
    <t>Transition rate (primary/secondary)</t>
  </si>
  <si>
    <t>Survival rate to the last grade of lower secondary general education (%) (Transition rate)</t>
  </si>
  <si>
    <t>https://stats.pacificdata.org/vis?tm=transition%20rate&amp;pg=0&amp;snb=2&amp;df[ds]=ds%3ASPC2&amp;df[id]=DF_NMDI_EDU&amp;df[ag]=SPC&amp;df[vs]=1.0&amp;pd=%2C&amp;dq=A..NMDI0431._T._T._T..&amp;ly[rw]=GEO_PICT&amp;ly[cl]=TIME_PERIOD&amp;to[TIME_PERIOD]=false</t>
  </si>
  <si>
    <t>https://stats-sdmx-disseminate.pacificdata.org/rest/data/SPC,DF_NMDI_EDU,1.0/A..NMDI0431._T._T._T..?dimensionAtObservation=AllDimensions</t>
  </si>
  <si>
    <t>III.6</t>
  </si>
  <si>
    <t>Educational attainment</t>
  </si>
  <si>
    <t>Percentage of population (age 25 and over) by highest level of educational attainment (primary and lower secondary), by sex</t>
  </si>
  <si>
    <t>Update with the gender data</t>
  </si>
  <si>
    <t>III.7</t>
  </si>
  <si>
    <t>Literacy Rates of 15-24 year olds (%)</t>
  </si>
  <si>
    <t>Literacy rate of youth (%ages 15-24) - by sex and rural/urban</t>
  </si>
  <si>
    <t>https://stats.pacificdata.org/vis?tm=literacy%20rate&amp;pg=0&amp;snb=5&amp;df[ds]=ds%3ASPC2&amp;df[id]=DF_NMDI_EDU&amp;df[ag]=SPC&amp;df[vs]=1.0&amp;pd=%2C&amp;dq=A..NMDI0019._T._T._T..&amp;ly[rw]=GEO_PICT&amp;ly[cl]=TIME_PERIOD</t>
  </si>
  <si>
    <t>https://stats-sdmx-disseminate.pacificdata.org/rest/data/SPC,DF_NMDI_EDU,1.0/A.[TAG_GEO].NMDI0019._T._T._T..?dimensionAtObservation=AllDimensions</t>
  </si>
  <si>
    <t>III.8</t>
  </si>
  <si>
    <t>Literacy Rates of 15-24 year olds (% - female)</t>
  </si>
  <si>
    <t>https://stats.pacificdata.org/vis?tm=literacy%20rate&amp;pg=0&amp;snb=5&amp;df[ds]=ds%3ASPC2&amp;df[id]=DF_NMDI_EDU&amp;df[ag]=SPC&amp;df[vs]=1.0&amp;pd=%2C&amp;dq=A..NMDI0019.F._T._T..&amp;ly[rw]=GEO_PICT&amp;ly[cl]=TIME_PERIOD&amp;to[TIME_PERIOD]=false</t>
  </si>
  <si>
    <t>https://stats-sdmx-disseminate.pacificdata.org/rest/data/SPC,DF_NMDI_EDU,1.0/A..NMDI0019.F._T._T..?dimensionAtObservation=AllDimensions</t>
  </si>
  <si>
    <t>III.9</t>
  </si>
  <si>
    <t>Literacy Rates of 15-24 year olds (% - male)</t>
  </si>
  <si>
    <t>https://stats.pacificdata.org/vis?tm=literacy%20rate&amp;pg=0&amp;snb=5&amp;df[ds]=ds%3ASPC2&amp;df[id]=DF_NMDI_EDU&amp;df[ag]=SPC&amp;df[vs]=1.0&amp;pd=%2C&amp;dq=A..NMDI0019.M._T._T..&amp;ly[rw]=GEO_PICT&amp;ly[cl]=TIME_PERIOD&amp;to[TIME_PERIOD]=false&amp;lb=nm</t>
  </si>
  <si>
    <t>https://stats-sdmx-disseminate.pacificdata.org/rest/data/SPC,DF_NMDI_EDU,1.0/A..NMDI0019.M._T._T..?dimensionAtObservation=AllDimensions</t>
  </si>
  <si>
    <t>III.10</t>
  </si>
  <si>
    <t>Literacy Rates of 15-24 year olds (% - urban)</t>
  </si>
  <si>
    <t>https://stats.pacificdata.org/vis?fs[0]=Development%20indicators%2C0%7CNational%20Minimum%20Development%20Indicators%23NMDI%23&amp;pg=0&amp;fc=Development%20indicators&amp;bp=true&amp;snb=8&amp;df[ds]=ds%3ASPC2&amp;df[id]=DF_NMDI_EDU&amp;df[ag]=SPC&amp;df[vs]=1.0&amp;pd=%2C&amp;dq=A..NMDI0019._T._T.U._T.&amp;ly[rw]=GEO_PICT&amp;ly[cl]=TIME_PERIOD&amp;to[TIME_PERIOD]=false</t>
  </si>
  <si>
    <t xml:space="preserve">https://stats-sdmx-disseminate.pacificdata.org/rest/data/SPC,DF_NMDI_EDU,1.0/A..NMDI0019._T._T.U._T.?dimensionAtObservation=AllDimensions </t>
  </si>
  <si>
    <t>III.11</t>
  </si>
  <si>
    <t>Literacy Rates of 15-24 year olds (% - rural)</t>
  </si>
  <si>
    <t>https://stats.pacificdata.org/vis?fs[0]=Development%20indicators%2C0%7CNational%20Minimum%20Development%20Indicators%23NMDI%23&amp;pg=0&amp;fc=Development%20indicators&amp;bp=true&amp;snb=8&amp;df[ds]=ds%3ASPC2&amp;df[id]=DF_NMDI_EDU&amp;df[ag]=SPC&amp;df[vs]=1.0&amp;pd=%2C&amp;dq=A..NMDI0019._T._T.R._T.&amp;ly[rw]=GEO_PICT&amp;ly[cl]=TIME_PERIOD&amp;to[TIME_PERIOD]=false</t>
  </si>
  <si>
    <t xml:space="preserve">https://stats-sdmx-disseminate.pacificdata.org/rest/data/SPC,DF_NMDI_EDU,1.0/A..NMDI0019._T._T.R._T.?dimensionAtObservation=AllDimensions </t>
  </si>
  <si>
    <t>III.12</t>
  </si>
  <si>
    <t>Literacy Rates of 25-64 year olds (%)</t>
  </si>
  <si>
    <t>Literacy rate of adults (%ages 25-64) - by sex and rural/urban</t>
  </si>
  <si>
    <t>https://stats.pacificdata.org/vis?tm=literacy%20rate&amp;pg=0&amp;snb=5&amp;df[ds]=ds%3ASPC2&amp;df[id]=DF_UIS&amp;df[ag]=SPC&amp;df[vs]=1.0&amp;pd=%2C&amp;dq=A..LR_AG25T64&amp;ly[rw]=INDICATOR&amp;ly[cl]=TIME_PERIOD&amp;to[TIME_PERIOD]=false</t>
  </si>
  <si>
    <t>https://stats-sdmx-disseminate.pacificdata.org/rest/data/SPC,DF_UIS,1.0/A..LR_AG25T64?dimensionAtObservation=AllDimensions</t>
  </si>
  <si>
    <t>III.13</t>
  </si>
  <si>
    <t>Literacy Rates of 25-64 year olds (% - female)</t>
  </si>
  <si>
    <t>https://stats.pacificdata.org/vis?tm=literacy%20rate&amp;pg=0&amp;snb=5&amp;df[ds]=ds%3ASPC2&amp;df[id]=DF_UIS&amp;df[ag]=SPC&amp;df[vs]=1.0&amp;pd=%2C&amp;dq=A..LR_AG25T64_F&amp;ly[rw]=INDICATOR&amp;ly[cl]=TIME_PERIOD&amp;to[TIME_PERIOD]=false</t>
  </si>
  <si>
    <t>https://stats-sdmx-disseminate.pacificdata.org/rest/data/SPC,DF_UIS,1.0/A..LR_AG25T64_F?dimensionAtObservation=AllDimensions</t>
  </si>
  <si>
    <t>III.14</t>
  </si>
  <si>
    <t>Literacy Rates of 25-64 year olds (% - male)</t>
  </si>
  <si>
    <t>https://stats.pacificdata.org/vis?tm=literacy%20rate&amp;pg=0&amp;snb=5&amp;df[ds]=ds%3ASPC2&amp;df[id]=DF_UIS&amp;df[ag]=SPC&amp;df[vs]=1.0&amp;pd=%2C&amp;dq=A..LR_AG25T64_M&amp;ly[rw]=INDICATOR&amp;ly[cl]=TIME_PERIOD&amp;to[TIME_PERIOD]=false</t>
  </si>
  <si>
    <t>https://stats-sdmx-disseminate.pacificdata.org/rest/data/SPC,DF_UIS,1.0/A..LR_AG25T64_M?dimensionAtObservation=AllDimensions</t>
  </si>
  <si>
    <t>III.15</t>
  </si>
  <si>
    <t>SDG 4.1.1 - Minimum proficiency level (grade 7 / year 6) in literacy</t>
  </si>
  <si>
    <t>Minimum proficiency level (by age, sex, education level and subject)</t>
  </si>
  <si>
    <t>https://stats.pacificdata.org/vis?tm=proficiency&amp;pg=0&amp;snb=4&amp;df[ds]=ds%3ASPC2&amp;df[id]=DF_SDG_04&amp;df[ag]=SPC&amp;df[vs]=3.0&amp;pd=%2C&amp;dq=A.SE_TOT_PRFL.._T._T._T._T.1_g7%2B1_y6..SKILL_MIN_LTRCY.&amp;ly[rw]=GEO_PICT%2CEDUCATION%2CCOMPOSITE_BREAKDOWN&amp;ly[cl]=TIME_PERIOD&amp;ly[rs]=INDICATOR&amp;to[TIME_PERIOD]=false</t>
  </si>
  <si>
    <t xml:space="preserve">https://stats-sdmx-disseminate.pacificdata.org/rest/data/SPC,DF_SDG_04,3.0/A.SE_TOT_PRFL.._T._T._T._T.1_g7+1_y6..SKILL_MIN_LTRCY.?dimensionAtObservation=AllDimensions </t>
  </si>
  <si>
    <t>III.16</t>
  </si>
  <si>
    <t>SDG 4.1.1 - Minimum proficiency level (grade 7 / year 6) in literacy (female)</t>
  </si>
  <si>
    <t>https://stats.pacificdata.org/vis?tm=proficiency&amp;pg=0&amp;snb=4&amp;df[ds]=ds%3ASPC2&amp;df[id]=DF_SDG_04&amp;df[ag]=SPC&amp;df[vs]=3.0&amp;pd=%2C&amp;dq=A.SE_TOT_PRFL..F._T._T._T.1_g7%2B1_y6..SKILL_MIN_LTRCY.&amp;ly[rw]=GEO_PICT%2CEDUCATION%2CCOMPOSITE_BREAKDOWN&amp;ly[cl]=TIME_PERIOD&amp;ly[rs]=INDICATOR&amp;to[TIME_PERIOD]=false</t>
  </si>
  <si>
    <t xml:space="preserve">https://stats-sdmx-disseminate.pacificdata.org/rest/data/SPC,DF_SDG_04,3.0/A.SE_TOT_PRFL..F._T._T._T.1_g7+1_y6..SKILL_MIN_LTRCY.?dimensionAtObservation=AllDimensions </t>
  </si>
  <si>
    <t>III.17</t>
  </si>
  <si>
    <t>SDG 4.1.1 - Minimum proficiency level (grade 7 / year 6) in literacy (male)</t>
  </si>
  <si>
    <t>https://stats.pacificdata.org/vis?tm=proficiency&amp;pg=0&amp;snb=4&amp;df[ds]=ds%3ASPC2&amp;df[id]=DF_SDG_04&amp;df[ag]=SPC&amp;df[vs]=3.0&amp;pd=%2C&amp;dq=A.SE_TOT_PRFL..M._T._T._T.1_g7%2B1_y6..SKILL_MIN_LTRCY.&amp;ly[rw]=GEO_PICT%2CEDUCATION%2CCOMPOSITE_BREAKDOWN&amp;ly[cl]=TIME_PERIOD&amp;ly[rs]=INDICATOR&amp;to[TIME_PERIOD]=false</t>
  </si>
  <si>
    <t xml:space="preserve">https://stats-sdmx-disseminate.pacificdata.org/rest/data/SPC,DF_SDG_04,3.0/A.SE_TOT_PRFL..M._T._T._T.1_g7+1_y6..SKILL_MIN_LTRCY.?dimensionAtObservation=AllDimensions </t>
  </si>
  <si>
    <t>III.18</t>
  </si>
  <si>
    <t>SDG 4.1.1 - Minimum proficiency level (grade 7 / year 6) in numeracy</t>
  </si>
  <si>
    <t>https://stats.pacificdata.org/vis?tm=proficiency&amp;pg=0&amp;snb=4&amp;df[ds]=ds%3ASPC2&amp;df[id]=DF_SDG_04&amp;df[ag]=SPC&amp;df[vs]=3.0&amp;pd=%2C&amp;dq=A.SE_TOT_PRFL.._T._T._T._T.1_g7%2B1_y6..SKILL_MIN_NMRCY.&amp;ly[rw]=GEO_PICT%2CEDUCATION%2CCOMPOSITE_BREAKDOWN&amp;ly[cl]=TIME_PERIOD&amp;ly[rs]=INDICATOR&amp;to[TIME_PERIOD]=false</t>
  </si>
  <si>
    <t>https://stats-sdmx-disseminate.pacificdata.org/rest/data/SPC,DF_SDG_04,3.0/A.SE_TOT_PRFL.._T._T._T._T.1_g7+1_y6..SKILL_MIN_NMRCY.?dimensionAtObservation=AllDimensions</t>
  </si>
  <si>
    <t>III.19</t>
  </si>
  <si>
    <t>SDG 4.1.1 - Minimum proficiency level (grade 7 / year 6) in numeracy (female)</t>
  </si>
  <si>
    <t>https://stats.pacificdata.org/vis?tm=proficiency&amp;pg=0&amp;snb=4&amp;df[ds]=ds%3ASPC2&amp;df[id]=DF_SDG_04&amp;df[ag]=SPC&amp;df[vs]=3.0&amp;pd=%2C&amp;dq=A.SE_TOT_PRFL..F._T._T._T.1_g7%2B1_y6..SKILL_MIN_NMRCY.&amp;ly[rw]=GEO_PICT%2CEDUCATION%2CCOMPOSITE_BREAKDOWN&amp;ly[cl]=TIME_PERIOD&amp;ly[rs]=INDICATOR&amp;to[TIME_PERIOD]=false</t>
  </si>
  <si>
    <t>https://stats-sdmx-disseminate.pacificdata.org/rest/data/SPC,DF_SDG_04,3.0/A.SE_TOT_PRFL..F._T._T._T.1_g7+1_y6..SKILL_MIN_NMRCY.?dimensionAtObservation=AllDimensions</t>
  </si>
  <si>
    <t>III.20</t>
  </si>
  <si>
    <t>SDG 4.1.1 - Minimum proficiency level (grade 7 / year 6) in numeracy (male)</t>
  </si>
  <si>
    <t>https://stats.pacificdata.org/vis?tm=proficiency&amp;pg=0&amp;snb=4&amp;df[ds]=ds%3ASPC2&amp;df[id]=DF_SDG_04&amp;df[ag]=SPC&amp;df[vs]=3.0&amp;pd=%2C&amp;dq=A.SE_TOT_PRFL..M._T._T._T.1_g7%2B1_y6..SKILL_MIN_NMRCY.&amp;ly[rw]=GEO_PICT%2CEDUCATION%2CCOMPOSITE_BREAKDOWN&amp;ly[cl]=TIME_PERIOD&amp;ly[rs]=INDICATOR&amp;to[TIME_PERIOD]=false</t>
  </si>
  <si>
    <t xml:space="preserve">https://stats-sdmx-disseminate.pacificdata.org/rest/data/SPC,DF_SDG_04,3.0/A.SE_TOT_PRFL..M._T._T._T.1_g7+1_y6..SKILL_MIN_NMRCY.?dimensionAtObservation=AllDimensions </t>
  </si>
  <si>
    <t>III.21</t>
  </si>
  <si>
    <t>Compulsory school ages and ranges for primary and secondary</t>
  </si>
  <si>
    <t>III.22</t>
  </si>
  <si>
    <t>Government scholarships: ratio women to men</t>
  </si>
  <si>
    <t>III.23</t>
  </si>
  <si>
    <t>Mean years of schooling</t>
  </si>
  <si>
    <t>III.24</t>
  </si>
  <si>
    <t>Expected years of schooling</t>
  </si>
  <si>
    <t>IV</t>
  </si>
  <si>
    <t>Economic resilience</t>
  </si>
  <si>
    <t>IV.1</t>
  </si>
  <si>
    <t>Annual GDP growth (%)</t>
  </si>
  <si>
    <t>https://stats.pacificdata.org/vis?fs[0]=Topic%2C0%7CEconomy%23ECO%23&amp;pg=0&amp;fc=Topic&amp;df[ds]=ds%3ASPC2&amp;df[id]=DF_NATIONAL_ACCOUNTS&amp;df[ag]=SPC&amp;df[vs]=1.0&amp;pd=%2C2021&amp;dq=A.USD.[TAG_GEO].GDPCVR&amp;ly[cl]=TIME_PERIOD</t>
  </si>
  <si>
    <t>https://stats-nsi-stable.pacificdata.org/rest/data/SPC,DF_NATIONAL_ACCOUNTS,1.0/A.USD.[TAG_GEO].GDPCVR?endPeriod=2021&amp;dimensionAtObservation=AllDimensions</t>
  </si>
  <si>
    <t>Was DF_WBWDI</t>
  </si>
  <si>
    <t>IV.2</t>
  </si>
  <si>
    <t>Overall Fiscal Balance of Central Government (surplus/deficit) % of GDP</t>
  </si>
  <si>
    <t>Fiscal balance of central government (% of GDP)</t>
  </si>
  <si>
    <t>https://stats.pacificdata.org/vis?tm=covid%2019&amp;pg=0&amp;df[ds]=ds%3ASPC2&amp;df[id]=DF_SOCECO&amp;df[ag]=SPC&amp;df[vs]=1.0&amp;pd=%2C&amp;dq=A.[TAG_GEO].OFB2GDP&amp;ly[cl]=TIME_PERIOD</t>
  </si>
  <si>
    <t>https://stats-nsi-stable.pacificdata.org/rest/data/SPC,DF_SOCECO,1.0/A.[TAG_GEO].OFB2GDP?dimensionAtObservation=AllDimensions</t>
  </si>
  <si>
    <t>IV.3</t>
  </si>
  <si>
    <t>Agriculture, value added (% of GDP)</t>
  </si>
  <si>
    <t>Agriculture, Industry and Services (% of GDP)</t>
  </si>
  <si>
    <t>https://stats.pacificdata.org/vis?tm=wb%20wdi&amp;pg=0&amp;df[ds]=ds%3ASPC2&amp;df[id]=DF_WBWDI&amp;df[ag]=SPC&amp;df[vs]=1.0&amp;pd=%2C&amp;dq=A.[TAG_GEO].NV_AGR_TOTL_ZS&amp;ly[cl]=TIME_PERIOD</t>
  </si>
  <si>
    <t>https://stats-nsi-stable.pacificdata.org/rest/data/SPC,DF_WBWDI,1.0/A.[TAG_GEO].NV_AGR_TOTL_ZS?dimensionAtObservation=AllDimensions</t>
  </si>
  <si>
    <t>Relaunch GDP</t>
  </si>
  <si>
    <t>IV.4</t>
  </si>
  <si>
    <t>Industry, value added (% of GDP)</t>
  </si>
  <si>
    <t>https://stats.pacificdata.org/vis?tm=wb%20wdi&amp;pg=0&amp;df[ds]=ds%3ASPC2&amp;df[id]=DF_WBWDI&amp;df[ag]=SPC&amp;df[vs]=1.0&amp;pd=%2C&amp;dq=A.[TAG_GEO].NV_IND_TOTL_ZS&amp;ly[cl]=TIME_PERIOD</t>
  </si>
  <si>
    <t>https://stats-nsi-stable.pacificdata.org/rest/data/SPC,DF_WBWDI,1.0/A.[TAG_GEO].NV_IND_TOTL_ZS?dimensionAtObservation=AllDimensions</t>
  </si>
  <si>
    <t>IV.5</t>
  </si>
  <si>
    <t>Services (% of GDP)</t>
  </si>
  <si>
    <t>https://stats.pacificdata.org/vis?tm=wb%20wdi&amp;pg=0&amp;df[ds]=ds%3ASPC2&amp;df[id]=DF_WBWDI&amp;df[ag]=SPC&amp;df[vs]=1.0&amp;pd=%2C&amp;dq=A.[TAG_GEO].NV_SRV_TOTL_ZS&amp;ly[cl]=TIME_PERIOD</t>
  </si>
  <si>
    <t>https://stats-nsi-stable.pacificdata.org/rest/data/SPC,DF_WBWDI,1.0/A.[TAG_GEO].NV_SRV_TOTL_ZS?dimensionAtObservation=AllDimensions</t>
  </si>
  <si>
    <t>IV.6</t>
  </si>
  <si>
    <t>Population below national poverty line</t>
  </si>
  <si>
    <t>Poverty headcount ratio at national poverty lines (% of population)</t>
  </si>
  <si>
    <t>https://stats.pacificdata.org/vis?tm=poverty&amp;pg=0&amp;df[ds]=ds%3ASPC2&amp;df[id]=DF_SDG_01&amp;df[ag]=SPC&amp;df[vs]=3.0&amp;pd=%2C&amp;dq=A.SI_POV_NAHC.[TAG_GEO]._T._T._T._T._T..._T</t>
  </si>
  <si>
    <t>https://stats-nsi-stable.pacificdata.org/rest/data/SPC,DF_SDG_01,3.0/A.SI_POV_NAHC.[TAG_GEO]._T._T._T._T._T..._T?dimensionAtObservation=AllDimensions</t>
  </si>
  <si>
    <t>IV.7</t>
  </si>
  <si>
    <t>Average hourly earnings</t>
  </si>
  <si>
    <t>https://stats.pacificdata.org/vis?tm=decent%20work&amp;pg=0&amp;df[ds]=ds%3ASPC2&amp;df[id]=DF_SDG_08&amp;df[ag]=SPC&amp;df[vs]=3.0&amp;pd=%2C&amp;dq=A.SL_EMP_EARN.[TAG_GEO]._T._T._T..._T.._T</t>
  </si>
  <si>
    <t>https://stats-nsi-stable.pacificdata.org/rest/data/SPC,DF_SDG_08,3.0/A.SL_EMP_EARN.[TAG_GEO]._T._T._T..._T.._T?dimensionAtObservation=AllDimensions</t>
  </si>
  <si>
    <t>IV.8</t>
  </si>
  <si>
    <t>Unemployment rate</t>
  </si>
  <si>
    <t>https://stats.pacificdata.org/vis?tm=decent%20work&amp;pg=0&amp;df[ds]=ds%3ASPC2&amp;df[id]=DF_SDG_08&amp;df[ag]=SPC&amp;df[vs]=3.0&amp;pd=%2C&amp;dq=A.SL_TLF_UEM.[TAG_GEO]._T._T._T..._T.._T&amp;ly[cl]=TIME_PERIOD</t>
  </si>
  <si>
    <t>https://stats-nsi-stable.pacificdata.org/rest/data/SPC,DF_SDG_08,3.0/A.SL_TLF_UEM.[TAG_GEO]._T._T._T..._T.._T?dimensionAtObservation=AllDimensions</t>
  </si>
  <si>
    <t>IV.9</t>
  </si>
  <si>
    <t>GINI index (World Bank estimate)</t>
  </si>
  <si>
    <t>https://stats.pacificdata.org/vis?tm=wb%20wdi&amp;pg=0&amp;df[ds]=ds%3ASPC2&amp;df[id]=DF_WBWDI&amp;df[ag]=SPC&amp;df[vs]=1.0&amp;pd=%2C&amp;dq=A.[TAG_GEO].SI_POV_GINI&amp;ly[cl]=TIME_PERIOD</t>
  </si>
  <si>
    <t>https://stats-nsi-stable.pacificdata.org/rest/data/SPC,DF_WBWDI,1.0/A.[TAG_GEO].SI_POV_GINI?dimensionAtObservation=AllDimensions</t>
  </si>
  <si>
    <t>IV.10</t>
  </si>
  <si>
    <t>Proportion of youth (aged 15-24 years) not in education, employment or training</t>
  </si>
  <si>
    <t>https://stats.pacificdata.org/vis?tm=decent%20work&amp;pg=0&amp;df[ds]=ds%3ASPC2&amp;df[id]=DF_SDG_08&amp;df[ag]=SPC&amp;df[vs]=3.0&amp;pd=%2C&amp;dq=A.SL_TLF_NEET.[TAG_GEO]._T._T._T..._T.._T&amp;lycl=TIME_PERIOD</t>
  </si>
  <si>
    <t>https://stats-nsi-stable.pacificdata.org/rest/data/SPC,DF_SDG_08,3.0/A.SL_TLF_NEET.[TAG_GEO]._T.Y15T24._T..._T.._T?dimensionAtObservation=AllDimensions</t>
  </si>
  <si>
    <t>IV.11</t>
  </si>
  <si>
    <t>GDP, per capita, in USD</t>
  </si>
  <si>
    <t>GDP, per capita, (US$)</t>
  </si>
  <si>
    <t>https://stats.pacificdata.org/vis?fs[0]=Topic%2C0%7CEconomy%23ECO%23&amp;pg=0&amp;fc=Topic&amp;df[ds]=ds%3ASPC2&amp;df[id]=DF_NATIONAL_ACCOUNTS&amp;df[ag]=SPC&amp;df[vs]=1.0&amp;pd=%2C2021&amp;dq=A.USD.[TAG_GEO].GDPCPC&amp;ly[cl]=TIME_PERIOD</t>
  </si>
  <si>
    <t>https://stats-nsi-stable.pacificdata.org/rest/data/SPC,DF_NATIONAL_ACCOUNTS,1.0/A.USD.[TAG_GEO].GDPCPC?endPeriod=2021&amp;dimensionAtObservation=AllDimensions</t>
  </si>
  <si>
    <t>Was DF_POCKET</t>
  </si>
  <si>
    <t>IV.12</t>
  </si>
  <si>
    <t>V</t>
  </si>
  <si>
    <t>Industry &amp; Innovation</t>
  </si>
  <si>
    <t>V.1</t>
  </si>
  <si>
    <t>E-Government Index</t>
  </si>
  <si>
    <t>UN E-Government Index</t>
  </si>
  <si>
    <t>https://stats.pacificdata.org/vis?tm=government&amp;pg=0&amp;df[ds]=ds%3ASPC2&amp;df[id]=DF_EGOV&amp;df[ag]=SPC&amp;df[vs]=1.0&amp;pd=%2C&amp;dq=A.[TAG_GEO].EGI&amp;ly[cl]=TIME_PERIOD</t>
  </si>
  <si>
    <t>https://stats-nsi-stable.pacificdata.org/rest/data/SPC,DF_EGOV,1.0/A.[TAG_GEO].EGI?dimensionAtObservation=AllDimensions</t>
  </si>
  <si>
    <t>V.2</t>
  </si>
  <si>
    <t>Gross tourism earnings as percentage of GDP</t>
  </si>
  <si>
    <t>Gross tourism earnings as % of GDP</t>
  </si>
  <si>
    <t>https://stats.pacificdata.org/vis?tm=tourism&amp;pg=0&amp;df[ds]=ds%3ASPC2&amp;df[id]=DF_TOURISM_EARNINGS&amp;df[ag]=SPC&amp;df[vs]=1.0&amp;pd=%2C&amp;dq=A.[TAG_GEO].EARN2GDP.USD&amp;ly[cl]=TIME_PERIOD</t>
  </si>
  <si>
    <t>https://stats-nsi-stable.pacificdata.org/rest/data/SPC,DF_TOURISM_EARNINGS,1.0/A.[TAG_GEO].EARN2GDP.USD?dimensionAtObservation=AllDimensions</t>
  </si>
  <si>
    <t>V.3</t>
  </si>
  <si>
    <t>Gross tourism earnings per visitor (US$)</t>
  </si>
  <si>
    <t>Tourism receipts per arrival</t>
  </si>
  <si>
    <t>https://stats.pacificdata.org/vis?tm=tourism&amp;pg=0&amp;df[ds]=ds%3ASPC2&amp;df[id]=DF_TOURISM_EARNINGS&amp;df[ag]=SPC&amp;df[vs]=1.0&amp;pd=%2C&amp;dq=A.[TAG_GEO].EARN2VIS.USD&amp;ly[cl]=TIME_PERIOD</t>
  </si>
  <si>
    <t>https://stats-nsi-stable.pacificdata.org/rest/data/SPC,DF_TOURISM_EARNINGS,1.0/A.[TAG_GEO].EARN2VIS.USD?dimensionAtObservation=AllDimensions</t>
  </si>
  <si>
    <t>V.4</t>
  </si>
  <si>
    <t>Number of overseas visitors arrivals</t>
  </si>
  <si>
    <t>Tourism numbers of arrivals</t>
  </si>
  <si>
    <t>https://stats.pacificdata.org/vis?tm=visitor&amp;pg=0&amp;df[ds]=ds%3ASPC2&amp;df[id]=DF_OVERSEAS_VISITORS&amp;df[ag]=SPC&amp;df[vs]=2.0&amp;pd=%2C&amp;dq=A.[TAG_GEO]._T.NOSVA&amp;ly[cl]=TIME_PERIOD</t>
  </si>
  <si>
    <t>https://stats-nsi-stable.pacificdata.org/rest/data/SPC,DF_OVERSEAS_VISITORS,2.0/A.[TAG_GEO]._T.NOSVA?dimensionAtObservation=AllDimensions</t>
  </si>
  <si>
    <t>V.5</t>
  </si>
  <si>
    <t>Digital Adoption Index</t>
  </si>
  <si>
    <t>https://stats.pacificdata.org/vis?tm=wb%20dai&amp;pg=0&amp;df[ds]=ds%3ASPC2&amp;df[id]=DF_WBDAI&amp;df[ag]=SPC&amp;df[vs]=1.0&amp;pd=%2C&amp;dq=A.[TAG_GEO].DAI&amp;ly[cl]=TIME_PERIOD</t>
  </si>
  <si>
    <t>https://stats-nsi-stable.pacificdata.org/rest/data/SPC,DF_WBDAI,1.0/A.[TAG_GEO].DAI?dimensionAtObservation=AllDimensions</t>
  </si>
  <si>
    <t>V.6</t>
  </si>
  <si>
    <t>Individuals using the Internet, total (%)</t>
  </si>
  <si>
    <t>Proportion of individuals using the Internet</t>
  </si>
  <si>
    <t>https://stats.pacificdata.org/vis?tm=digital&amp;pg=0&amp;df[ds]=ds%3ASPC2&amp;df[id]=DF_DIGITAL_DEVELOPMENT&amp;df[ag]=SPC&amp;df[vs]=1.0&amp;pd=%2C&amp;dq=A.[TAG_GEO].DD024&amp;ly[cl]=TIME_PERIOD</t>
  </si>
  <si>
    <t>https://stats-nsi-stable.pacificdata.org/rest/data/SPC,DF_DIGITAL_DEVELOPMENT,1.0/A.[TAG_GEO].DD024?dimensionAtObservation=AllDimensions</t>
  </si>
  <si>
    <t>V.7</t>
  </si>
  <si>
    <t>SDG 17.3.1 - Foreign direct investments (FDI), official development assistance and South-South Cooperation</t>
  </si>
  <si>
    <t>FDI as share of GDP</t>
  </si>
  <si>
    <t>https://stats.pacificdata.org/vis?tm=partner&amp;pg=0&amp;df[ds]=ds%3ASPC2&amp;df[id]=DF_SDG_17&amp;df[ag]=SPC&amp;df[vs]=3.0&amp;pd=%2C&amp;dq=A.SPC_17_3_1.[TAG_GEO]._T._T._T...._Z.&amp;ly[cl]=TIME_PERIOD</t>
  </si>
  <si>
    <t>https://stats-nsi-stable.pacificdata.org/rest/data/SPC,DF_SDG_17,3.0/A.SPC_17_3_1.[TAG_GEO]._T._T._T...._Z.?dimensionAtObservation=AllDimensions</t>
  </si>
  <si>
    <t>V.8</t>
  </si>
  <si>
    <t>Proportion of household income from agriculture and forestry activities (%)</t>
  </si>
  <si>
    <t>https://stats.pacificdata.org/vis?tm=nmdi&amp;pg=0&amp;df[ds]=ds%3ASPC2&amp;df[id]=DF_NMDI_FIS&amp;df[ag]=SPC&amp;df[vs]=1.0&amp;pd=%2C&amp;dq=A.[TAG_GEO].NMDI0057._T._T._T..</t>
  </si>
  <si>
    <t>https://stats-nsi-stable.pacificdata.org/rest/data/SPC,DF_NMDI_FIS,1.0/A.[TAG_GEO].NMDI0057._T._T._T..?dimensionAtObservation=AllDimensions</t>
  </si>
  <si>
    <t>V.9</t>
  </si>
  <si>
    <t>Proportion of labour force engaged in agriculture and forestry activities as their main economic activity (%)</t>
  </si>
  <si>
    <t>https://stats.pacificdata.org/vis?tm=nmdi&amp;pg=0&amp;df[ds]=ds%3ASPC2&amp;df[id]=DF_NMDI_FIS&amp;df[ag]=SPC&amp;df[vs]=1.0&amp;pd=%2C&amp;dq=A.[TAG_GEO].NMDI0059._T._T._T..</t>
  </si>
  <si>
    <t>https://stats-nsi-stable.pacificdata.org/rest/data/SPC,DF_NMDI_FIS,1.0/A.[TAG_GEO].NMDI0059._T._T._T..?dimensionAtObservation=AllDimensions</t>
  </si>
  <si>
    <t>VI</t>
  </si>
  <si>
    <t>Infrastructure &amp; energy</t>
  </si>
  <si>
    <t>VI.1</t>
  </si>
  <si>
    <t>SDG 7.1.1 - Population with access to electricity</t>
  </si>
  <si>
    <t>Access to electricity (% of population)</t>
  </si>
  <si>
    <t>https://stats.pacificdata.org/vis?tm=sdg%2007&amp;pg=0&amp;hc[dataflowId]=DF_SDG_07&amp;df[ds]=ds%3ASPC2&amp;df[id]=DF_SDG_07&amp;df[ag]=SPC&amp;df[vs]=3.0&amp;pd=%2C&amp;dq=A.EG_ACS_ELEC.[TAG_GEO]..._T._T....&amp;ly[cl]=TIME_PERIOD</t>
  </si>
  <si>
    <t>https://stats-nsi-stable.pacificdata.org/rest/data/SPC,DF_SDG_07,3.0/A.EG_ACS_ELEC.[TAG_GEO]..._T._T....?dimensionAtObservation=AllDimensions</t>
  </si>
  <si>
    <t>VI.2</t>
  </si>
  <si>
    <t>SDG 7.1.2 - Population with primary reliance on clean fuels and technology</t>
  </si>
  <si>
    <t>Proportion of population with primary reliance on clean fuels and technology</t>
  </si>
  <si>
    <t>https://stats.pacificdata.org/vis?tm=sdg%2007&amp;pg=0&amp;hc[dataflowId]=DF_SDG_07&amp;df[ds]=ds%3ASPC2&amp;df[id]=DF_SDG_07&amp;df[ag]=SPC&amp;df[vs]=3.0&amp;pd=%2C&amp;dq=A.EG_EGY_CLEAN.[TAG_GEO]..._T._T....</t>
  </si>
  <si>
    <t>https://stats-nsi-stable.pacificdata.org/rest/data/SPC,DF_SDG_07,3.0/A.EG_EGY_CLEAN.[TAG_GEO]..._T._T....?dimensionAtObservation=AllDimensions</t>
  </si>
  <si>
    <t>VI.3</t>
  </si>
  <si>
    <t>SDG 7.3.1 - Energy intensity level of primary energy</t>
  </si>
  <si>
    <t>Energy intensity level of primary energy</t>
  </si>
  <si>
    <t>https://stats.pacificdata.org/vis?tm=sdg%2007&amp;pg=0&amp;hc[dataflowId]=DF_SDG_07&amp;df[ds]=ds%3ASPC2&amp;df[id]=DF_SDG_07&amp;df[ag]=SPC&amp;df[vs]=3.0&amp;pd=%2C&amp;dq=A.EG_EGY_PRIM.[TAG_GEO]..._T._T....&amp;ly[cl]=TIME_PERIOD</t>
  </si>
  <si>
    <t>https://stats-nsi-stable.pacificdata.org/rest/data/SPC,DF_SDG_07,3.0/A.EG_EGY_PRIM.[TAG_GEO]..._T._T....?dimensionAtObservation=AllDimensions</t>
  </si>
  <si>
    <t>VI.4</t>
  </si>
  <si>
    <t>Renewable electricity output (% of total electricity output)</t>
  </si>
  <si>
    <t>https://stats.pacificdata.org/vis?tm=renewable&amp;pg=0&amp;df[ds]=ds%3ASPC2&amp;df[id]=DF_WBWDI&amp;df[ag]=SPC&amp;df[vs]=1.0&amp;pd=%2C&amp;dq=A.[TAG_GEO].EG_ELC_RNEW_ZS&amp;ly[cl]=TIME_PERIOD</t>
  </si>
  <si>
    <t>https://stats-nsi-stable.pacificdata.org/rest/data/SPC,DF_WBWDI,1.0/A.[TAG_GEO].EG_ELC_RNEW_ZS?dimensionAtObservation=AllDimensions</t>
  </si>
  <si>
    <t>VI.5</t>
  </si>
  <si>
    <t>Proportion of Households with access to improved sanitation (%)</t>
  </si>
  <si>
    <t>Access to improved sanitation (% of population) by location</t>
  </si>
  <si>
    <t>https://stats.pacificdata.org/vis?tm=access%20sanitation&amp;pg=0&amp;df[ds]=ds%3ASPC2&amp;df[id]=DF_NMDI&amp;df[ag]=SPC&amp;df[vs]=1.0&amp;pd=%2C&amp;dq=A.[TAG_GEO].NMDI0134._T._T._T..</t>
  </si>
  <si>
    <t>https://stats-nsi-stable.pacificdata.org/rest/data/SPC,DF_NMDI,1.0/A.[TAG_GEO].NMDI0134._T._T._T..?dimensionAtObservation=AllDimensions</t>
  </si>
  <si>
    <t>VI.6</t>
  </si>
  <si>
    <t>Proportion of Households with access to improved drinking water (%)</t>
  </si>
  <si>
    <t>Access to improved drinking water (% of population)</t>
  </si>
  <si>
    <t>https://stats.pacificdata.org/vis?tm=access%20sanitation&amp;pg=0&amp;df[ds]=ds%3ASPC2&amp;df[id]=DF_NMDI&amp;df[ag]=SPC&amp;df[vs]=1.0&amp;pd=%2C&amp;dq=A.[TAG_GEO].NMDI0133._T._T._T..</t>
  </si>
  <si>
    <t>https://stats-nsi-stable.pacificdata.org/rest/data/SPC,DF_NMDI,1.0/A.[TAG_GEO].NMDI0133._T._T._T..?dimensionAtObservation=AllDimensions</t>
  </si>
  <si>
    <t>VII</t>
  </si>
  <si>
    <t>Climate &amp; environment</t>
  </si>
  <si>
    <t>VII.1</t>
  </si>
  <si>
    <t>Global Climate Risk Index</t>
  </si>
  <si>
    <t>VII.2</t>
  </si>
  <si>
    <t>CO2 emissions, per capita (metric tons)</t>
  </si>
  <si>
    <t>CO2 emissions (per capita)</t>
  </si>
  <si>
    <t>https://stats.pacificdata.org/vis?tm=co2&amp;pg=0&amp;df[ds]=ds%3ASPC2&amp;df[id]=DF_WBWDI&amp;df[ag]=SPC&amp;df[vs]=1.0&amp;pd=%2C&amp;dq=A.[TAG_GEO].EN_ATM_CO2E_PC&amp;ly[cl]=TIME_PERIOD</t>
  </si>
  <si>
    <t>https://stats-nsi-stable.pacificdata.org/rest/data/SPC,DF_WBWDI,1.0/A.[TAG_GEO].EN_ATM_CO2E_PC?dimensionAtObservation=AllDimensions</t>
  </si>
  <si>
    <t>Was DF_NMDI_OTH</t>
  </si>
  <si>
    <t>VII.3</t>
  </si>
  <si>
    <t>Climate-related development finance – commitment</t>
  </si>
  <si>
    <t>VII.4</t>
  </si>
  <si>
    <t>Red List Index</t>
  </si>
  <si>
    <t>https://stats.pacificdata.org/vis?tm=red%20list&amp;pg=0&amp;df[ds]=ds%3ASPC2&amp;df[id]=DF_SDG_15&amp;df[ag]=SPC&amp;df[vs]=3.0&amp;pd=%2C&amp;dq=A.ER_RSK_LST.[TAG_GEO]........&amp;ly[cl]=TIME_PERIOD</t>
  </si>
  <si>
    <t>https://stats-sdmx-disseminate.pacificdata.org/rest/data/SPC,DF_SDG_15,3.0/A.ER_RSK_LST.[TAG_GEO]........?dimensionAtObservation=AllDimensions</t>
  </si>
  <si>
    <t>Was DF_NMDI</t>
  </si>
  <si>
    <t>VII.5</t>
  </si>
  <si>
    <t>SDG 11.5.1 - Number of deaths directly attributed to disasters</t>
  </si>
  <si>
    <t>Number of deaths and missing persons attributed to disasters (last 5 years mean)</t>
  </si>
  <si>
    <t>https://stats.pacificdata.org/vis?tm=SDG%2011&amp;pg=0&amp;df[ds]=ds%3ASPC2&amp;df[id]=DF_SDG_11&amp;df[ag]=SPC&amp;df[vs]=3.0&amp;pd=%2C&amp;dq=A.VC_DSR_MORT.[TAG_GEO]..._T.....&amp;ly[cl]=TIME_PERIOD&amp;hc[dataflowId]=DF_SDG_11</t>
  </si>
  <si>
    <t>https://stats-nsi-stable.pacificdata.org/rest/data/SPC,DF_SDG_11,3.0/A.VC_DSR_MORT.[TAG_GEO]..._T.....?dimensionAtObservation=AllDimensions</t>
  </si>
  <si>
    <t>VII.6</t>
  </si>
  <si>
    <t>SDG 11.5.1 - Number of missing persons attributed to disasters</t>
  </si>
  <si>
    <t>https://stats.pacificdata.org/vis?tm=SDG%2011&amp;pg=0&amp;df[ds]=ds%3ASPC2&amp;df[id]=DF_SDG_11&amp;df[ag]=SPC&amp;df[vs]=3.0&amp;pd=%2C&amp;dq=A.VC_DSR_MISS.[TAG_GEO]..._T.....&amp;ly[cl]=TIME_PERIOD&amp;hc[dataflowId]=DF_SDG_11</t>
  </si>
  <si>
    <t>https://stats-nsi-stable.pacificdata.org/rest/data/SPC,DF_SDG_11,3.0/A.VC_DSR_MISS.[TAG_GEO]..._T.....?dimensionAtObservation=AllDimensions</t>
  </si>
  <si>
    <t>VII.7</t>
  </si>
  <si>
    <t>SDG 11.5.2 - Direct disaster economic loss, average annual loss</t>
  </si>
  <si>
    <t>Direct economic loss attributed to disasters (current US$)</t>
  </si>
  <si>
    <t>https://stats.pacificdata.org/vis?tm=SDG%2011&amp;pg=0&amp;df[ds]=ds%3ASPC2&amp;df[id]=DF_SDG_11&amp;df[ag]=SPC&amp;df[vs]=3.0&amp;pd=%2C&amp;dq=A.VC_DSR_AALT.[TAG_GEO]..._T.....&amp;hc[dataflowId]=DF_SDG_11</t>
  </si>
  <si>
    <t>https://stats-nsi-stable.pacificdata.org/rest/data/SPC,DF_SDG_11,3.0/A.VC_DSR_AALT.[TAG_GEO]..._T.....?dimensionAtObservation=AllDimensions</t>
  </si>
  <si>
    <t>VII.8</t>
  </si>
  <si>
    <t>Rural population (% of total population)</t>
  </si>
  <si>
    <t>https://stats.pacificdata.org/vis?tm=rural%20population&amp;pg=0&amp;hc[Topic]=Population&amp;hc[Urbanization]=Rural&amp;df[ds]=ds%3ASPC2&amp;df[id]=DF_POP_URBAN&amp;df[ag]=SPC&amp;df[vs]=1.0&amp;pd=%2C&amp;dq=A.[TAG_GEO].POPRFCOU.R</t>
  </si>
  <si>
    <t>https://stats-nsi-stable.pacificdata.org/rest/data/SPC,DF_POP_URBAN,1.0/A.[TAG_GEO].POPRFCOU.R?dimensionAtObservation=AllDimensions</t>
  </si>
  <si>
    <t>VII.9</t>
  </si>
  <si>
    <t>Food imports (% of merchandise imports)</t>
  </si>
  <si>
    <t>Food imports (% of merchandise imports)</t>
  </si>
  <si>
    <t>https://stats.pacificdata.org/vis?tm=food%20imports&amp;pg=0&amp;df[ds]=ds%3ASPC2&amp;df[id]=DF_WBWDI&amp;df[ag]=SPC&amp;df[vs]=1.0&amp;pd=%2C&amp;dq=A.[TAG_GEO].TM_VAL_FOOD_ZS_UN&amp;ly[cl]=TIME_PERIOD</t>
  </si>
  <si>
    <t>https://stats-nsi-stable.pacificdata.org/rest/data/SPC,DF_WBWDI,1.0/A.[TAG_GEO].TM_VAL_FOOD_ZS_UN?dimensionAtObservation=AllDimensions</t>
  </si>
  <si>
    <t>VII.10</t>
  </si>
  <si>
    <t>SDG 15.1.2 - Average proportion of Terrestrial Key Biodiversity Areas (KBAs) covered by protected areas</t>
  </si>
  <si>
    <t>Average proportion of Terrestrial Key Biodiversity Areas (KBAs) covered by protected areas (%)</t>
  </si>
  <si>
    <t>https://stats.pacificdata.org/vis?tm=sdg%2015&amp;pg=0&amp;hc[dataflowId]=DF_SDG_15&amp;df[ds]=ds%3ASPC2&amp;df[id]=DF_SDG_15&amp;df[ag]=SPC&amp;df[vs]=3.0&amp;pd=%2C&amp;dq=A.ER_PTD_TERR.[TAG_GEO]........&amp;ly[cl]=TIME_PERIOD</t>
  </si>
  <si>
    <t>https://stats-nsi-stable.pacificdata.org/rest/data/SPC,DF_SDG_15,3.0/A.ER_PTD_TERR.[TAG_GEO]........?dimensionAtObservation=AllDimensions</t>
  </si>
  <si>
    <t>VII.11</t>
  </si>
  <si>
    <t>Climate Finance for ODA (% total)</t>
  </si>
  <si>
    <t>VIII</t>
  </si>
  <si>
    <t>Oceans &amp; fisheries</t>
  </si>
  <si>
    <t>VIII.1</t>
  </si>
  <si>
    <t>Exclusive Economic Zone (EEZ) in km2</t>
  </si>
  <si>
    <t>https://stats.pacificdata.org/vis?tm=EEZ&amp;pg=0&amp;df[ds]=ds%3ASPC2&amp;df[id]=DF_KEYFACTS&amp;df[ag]=SPC&amp;df[vs]=1.0&amp;pd=%2C&amp;dq=A.[TAG_GEO].EEZ</t>
  </si>
  <si>
    <t>https://stats-nsi-stable.pacificdata.org/rest/data/SPC,DF_KEYFACTS,1.0/A.[TAG_GEO].EEZ?dimensionAtObservation=AllDimensions</t>
  </si>
  <si>
    <t>VIII.2</t>
  </si>
  <si>
    <t>SDG 14.5.1 - Protected area coverage for marine (Economic Exclusion Zones)</t>
  </si>
  <si>
    <t>Marine protected areas (% of territorial waters)</t>
  </si>
  <si>
    <t>https://stats.pacificdata.org/vis?tm=sdg%20water&amp;pg=0&amp;df[ds]=ds%3ASPC2&amp;df[id]=DF_SDG_14&amp;df[ag]=SPC&amp;df[vs]=3.0&amp;pd=%2C&amp;dq=A.ER_MRN_MARIN.[TAG_GEO]......._Z.&amp;ly[cl]=TIME_PERIOD</t>
  </si>
  <si>
    <t>https://stats-nsi-stable.pacificdata.org/rest/data/SPC,DF_SDG_14,3.0/A.ER_MRN_MARIN.[TAG_GEO]......._Z.?dimensionAtObservation=AllDimensions</t>
  </si>
  <si>
    <t>VIII.3</t>
  </si>
  <si>
    <t>SDG 14.4.1 - Fish stocks within biologically sustainable levels (not overexploited)</t>
  </si>
  <si>
    <t>Fish stocks within biologically sustainable levels</t>
  </si>
  <si>
    <t>https://stats.pacificdata.org/vis?tm=sdg%20water&amp;pg=0&amp;df[ds]=ds%3ASPC2&amp;df[id]=DF_SDG_14&amp;df[ag]=SPC&amp;df[vs]=3.0&amp;pd=%2C&amp;dq=A.ER_H2O_FWTL.[TAG_GEO]......._Z.</t>
  </si>
  <si>
    <t>https://stats-nsi-stable.pacificdata.org/rest/data/SPC,DF_SDG_14,3.0/A.ER_H2O_FWTL.[TAG_GEO]......._Z.?dimensionAtObservation=AllDimensions</t>
  </si>
  <si>
    <t>VIII.4</t>
  </si>
  <si>
    <t>SDG 14.7.1 - Sustainable fisheries as a proportion of GDP</t>
  </si>
  <si>
    <t>Sustainable fisheries as a proportion of GDP</t>
  </si>
  <si>
    <t>https://stats.pacificdata.org/vis?tm=sdg%20water&amp;pg=0&amp;df[ds]=ds%3ASPC2&amp;df[id]=DF_SDG_14&amp;df[ag]=SPC&amp;df[vs]=3.0&amp;pd=%2C&amp;dq=A.SPC_14_7_1.[TAG_GEO]......._Z.&amp;ly[cl]=TIME_PERIOD</t>
  </si>
  <si>
    <t>https://stats-nsi-stable.pacificdata.org/rest/data/SPC,DF_SDG_14,3.0/A.SPC_14_7_1.[TAG_GEO]......._Z.?dimensionAtObservation=AllDimensions</t>
  </si>
  <si>
    <t>VIII.5</t>
  </si>
  <si>
    <t>Percentage of population employed in fishing industry</t>
  </si>
  <si>
    <t>VIII.6</t>
  </si>
  <si>
    <t>Access fees collected (% of govt revenue)</t>
  </si>
  <si>
    <t>VIII.7</t>
  </si>
  <si>
    <t>Coastal subsistence catches (US$ millions)</t>
  </si>
  <si>
    <t>VIII.8</t>
  </si>
  <si>
    <t>Quantity of fish, crustaceans, molluscs and other aquatic invertebrates imported (tonnes)</t>
  </si>
  <si>
    <t>Fish and Seafood Consumption</t>
  </si>
  <si>
    <t>https://stats.pacificdata.org/vis?lc=en&amp;df[ds]=SPC2&amp;df[id]=DF_TRADE_FOOD&amp;df[ag]=SPC&amp;df[vs]=1.0&amp;pd=%2C&amp;dq=A.Q._T%2BAS%2BCK%2BFJ%2BFM%2BGU%2BKI%2BMH%2BMP%2BNC%2BNR%2BNU%2BPF%2BPG%2BPN%2BPW%2BSB%2BTK%2BTO%2BTV%2BVU%2BWF%2BWS._T.03&amp;ly[cl]=TIME_PERIOD&amp;to[TIME_PERIOD]=false</t>
  </si>
  <si>
    <t>https://stats-sdmx-disseminate.pacificdata.org/rest/data/SPC,DF_TRADE_FOOD,1.0/A.Q._T+AS+CK+FJ+FM+GU+KI+MH+MP+NC+NR+NU+PF+PG+PN+PW+SB+TK+TO+TV+VU+WF+WS._T.03?dimensionAtObservation=AllDimensions</t>
  </si>
  <si>
    <t>VIII.9</t>
  </si>
  <si>
    <t>Quantity of fish, crustaceans, molluscs and other aquatic invertebrates exported (tonnes)</t>
  </si>
  <si>
    <t>https://stats.pacificdata.org/vis?lc=en&amp;df[ds]=SPC2&amp;df[id]=DF_TRADE_FOOD&amp;df[ag]=SPC&amp;df[vs]=1.0&amp;pd=%2C&amp;dq=A.Q._T.NR%2BWF%2BTV%2BTO%2BWS%2BNU%2BPF%2BCK%2BAS%2BPW%2BMH%2BKI%2BGU%2BFM%2BVU%2BSB%2BPG%2BNC%2BFJ.03&amp;ly[cl]=TIME_PERIOD&amp;to[TIME_PERIOD]=false</t>
  </si>
  <si>
    <t>https://stats-sdmx-disseminate.pacificdata.org/rest/data/SPC,DF_TRADE_FOOD,1.0/A.Q._T.NR+WF+TV+TO+WS+NU+PF+CK+AS+PW+MH+KI+GU+FM+VU+SB+PG+NC+FJ.03?dimensionAtObservation=AllDimensions</t>
  </si>
  <si>
    <t>IX</t>
  </si>
  <si>
    <t>Governance &amp; Institutions</t>
  </si>
  <si>
    <t>IX.1</t>
  </si>
  <si>
    <t>Voice and Accountability</t>
  </si>
  <si>
    <t>https://stats.pacificdata.org/vis?tm=voice%20and%20accountability&amp;pg=0&amp;hc[Indicator]=Voice%20and%20Accountability&amp;df[ds]=ds%3ASPC2&amp;df[id]=DF_WBWGI&amp;df[ag]=SPC&amp;df[vs]=1.0&amp;pd=%2C&amp;dq=A.[TAG_GEO].VA_EST&amp;ly[cl]=TIME_PERIOD</t>
  </si>
  <si>
    <t>https://stats-nsi-stable.pacificdata.org/rest/data/SPC,DF_WBWGI,1.0/A.[TAG_GEO].VA_EST?dimensionAtObservation=AllDimensions</t>
  </si>
  <si>
    <t>IX.2</t>
  </si>
  <si>
    <t>Rule of Law</t>
  </si>
  <si>
    <t>https://stats.pacificdata.org/vis?tm=voice%20and%20accountability&amp;pg=0&amp;hc[Indicator]=Voice%20and%20Accountability&amp;df[ds]=ds%3ASPC2&amp;df[id]=DF_WBWGI&amp;df[ag]=SPC&amp;df[vs]=1.0&amp;pd=%2C&amp;dq=A.[TAG_GEO].RL_EST&amp;ly[cl]=TIME_PERIOD</t>
  </si>
  <si>
    <t>https://stats-nsi-stable.pacificdata.org/rest/data/SPC,DF_WBWGI,1.0/A.[TAG_GEO].RL_EST?dimensionAtObservation=AllDimensions</t>
  </si>
  <si>
    <t>IX.3</t>
  </si>
  <si>
    <t>Government Effectiveness</t>
  </si>
  <si>
    <t>https://stats.pacificdata.org/vis?tm=voice%20and%20accountability&amp;pg=0&amp;hc[Indicator]=Voice%20and%20Accountability&amp;df[ds]=ds%3ASPC2&amp;df[id]=DF_WBWGI&amp;df[ag]=SPC&amp;df[vs]=1.0&amp;pd=%2C&amp;dq=A.[TAG_GEO].GE_EST&amp;ly[cl]=TIME_PERIOD</t>
  </si>
  <si>
    <t>https://stats-nsi-stable.pacificdata.org/rest/data/SPC,DF_WBWGI,1.0/A.[TAG_GEO].GE_EST?dimensionAtObservation=AllDimensions</t>
  </si>
  <si>
    <t>IX.4</t>
  </si>
  <si>
    <t>Control of Corruption</t>
  </si>
  <si>
    <t>https://stats.pacificdata.org/vis?tm=voice%20and%20accountability&amp;pg=0&amp;hc[Indicator]=Voice%20and%20Accountability&amp;df[ds]=ds%3ASPC2&amp;df[id]=DF_WBWGI&amp;df[ag]=SPC&amp;df[vs]=1.0&amp;pd=%2C&amp;dq=A.[TAG_GEO].CC_EST&amp;ly[cl]=TIME_PERIOD</t>
  </si>
  <si>
    <t>https://stats-nsi-stable.pacificdata.org/rest/data/SPC,DF_WBWGI,1.0/A.[TAG_GEO].CC_EST?dimensionAtObservation=AllDimensions</t>
  </si>
  <si>
    <t>IX.5</t>
  </si>
  <si>
    <t>Regulatory quality</t>
  </si>
  <si>
    <t>https://stats.pacificdata.org/vis?tm=voice%20and%20accountability&amp;pg=0&amp;hc[Indicator]=Voice%20and%20Accountability&amp;df[ds]=ds%3ASPC2&amp;df[id]=DF_WBWGI&amp;df[ag]=SPC&amp;df[vs]=1.0&amp;pd=%2C&amp;dq=A.[TAG_GEO].RQ_EST&amp;ly[cl]=TIME_PERIOD</t>
  </si>
  <si>
    <t>https://stats-nsi-stable.pacificdata.org/rest/data/SPC,DF_WBWGI,1.0/A.[TAG_GEO].RQ_EST?dimensionAtObservation=AllDimensions</t>
  </si>
  <si>
    <t>IX.6</t>
  </si>
  <si>
    <t>Political Stability and Absence of Violence/Terrorism</t>
  </si>
  <si>
    <t>https://stats.pacificdata.org/vis?tm=voice%20and%20accountability&amp;pg=0&amp;hc[Indicator]=Voice%20and%20Accountability&amp;df[ds]=ds%3ASPC2&amp;df[id]=DF_WBWGI&amp;df[ag]=SPC&amp;df[vs]=1.0&amp;pd=%2C&amp;dq=A.[TAG_GEO].PV_EST&amp;ly[cl]=TIME_PERIOD</t>
  </si>
  <si>
    <t>https://stats-nsi-stable.pacificdata.org/rest/data/SPC,DF_WBWGI,1.0/A.[TAG_GEO].PV_EST?dimensionAtObservation=AllDimensions</t>
  </si>
  <si>
    <t>IX.7</t>
  </si>
  <si>
    <t>Number of persons in prison</t>
  </si>
  <si>
    <t>Persons held in prison (rate per 100,000)</t>
  </si>
  <si>
    <t>https://stats.pacificdata.org/vis?tm=prison&amp;pg=0&amp;df[ds]=ds%3ASPC2&amp;df[id]=DF_PRISON&amp;df[ag]=SPC&amp;df[vs]=1.0&amp;pd=%2C&amp;dq=A.[TAG_GEO].COUNT&amp;ly[rw]=TIME_PERIOD</t>
  </si>
  <si>
    <t>https://stats-nsi-stable.pacificdata.org/rest/data/SPC,DF_PRISON,1.0/A.[TAG_GEO].COUNT?dimensionAtObservation=AllDimensions</t>
  </si>
  <si>
    <t>IX.8</t>
  </si>
  <si>
    <t>SDG 16.7.1 - Proportion of youth in parliament (age 45 or below), Lower Chamber or Unicameral (%)</t>
  </si>
  <si>
    <t>Proportions of positions (by sex, age, persons with disabilities and population groups) in public institutions (national and local legislatures, public service, and judiciary) compared to national distributions</t>
  </si>
  <si>
    <t>https://stats.pacificdata.org/vis?fs[0]=Development%20indicators%2C0%7CSustainable%20Development%20Goals%23SDG%23&amp;pg=10&amp;fc=Development%20indicators&amp;bp=true&amp;snb=18&amp;df[ds]=ds%3ASPC2&amp;df[id]=DF_SDG_16&amp;df[ag]=SPC&amp;df[vs]=3.0&amp;pd=%2C&amp;dq=A.SG_DMK_PARLYP_LC.........&amp;ly[rw]=GEO_PICT&amp;ly[cl]=TIME_PERIOD&amp;ly[rs]=INDICATOR&amp;to[TIME_PERIOD]=false</t>
  </si>
  <si>
    <t>https://stats-sdmx-disseminate.pacificdata.org/rest/data/SPC,DF_SDG_16,3.0/A.SG_DMK_PARLYP_LC.........?dimensionAtObservation=AllDimensions</t>
  </si>
  <si>
    <t>IX.9</t>
  </si>
  <si>
    <t>SDG 16.7.1 - Proportion of youth in parliament (age 45 or below), Upper Chamber (%)</t>
  </si>
  <si>
    <t>https://stats.pacificdata.org/vis?fs[0]=Development%20indicators%2C0%7CSustainable%20Development%20Goals%23SDG%23&amp;pg=10&amp;fc=Development%20indicators&amp;bp=true&amp;snb=18&amp;df[ds]=ds%3ASPC2&amp;df[id]=DF_SDG_16&amp;df[ag]=SPC&amp;df[vs]=3.0&amp;pd=%2C&amp;dq=A.SG_DMK_PARLYP_UC.........&amp;ly[rw]=GEO_PICT&amp;ly[cl]=TIME_PERIOD&amp;ly[rs]=INDICATOR&amp;to[TIME_PERIOD]=false</t>
  </si>
  <si>
    <t>https://stats-sdmx-disseminate.pacificdata.org/rest/data/SPC,DF_SDG_16,3.0/A.SG_DMK_PARLYP_UC.........?dimensionAtObservation=AllDimensions</t>
  </si>
  <si>
    <t>IX.10</t>
  </si>
  <si>
    <t>SDG 16.3.2 - Unsentenced detainees as a proportion of overall prison population</t>
  </si>
  <si>
    <t>Unsentenced detainees</t>
  </si>
  <si>
    <t>https://stats.pacificdata.org/vis?fs[0]=Development%20indicators%2C0%7CSustainable%20Development%20Goals%23SDG%23&amp;pg=10&amp;fc=Development%20indicators&amp;bp=true&amp;snb=18&amp;df[ds]=ds%3ASPC2&amp;df[id]=DF_SDG_16&amp;df[ag]=SPC&amp;df[vs]=3.0&amp;pd=%2C&amp;dq=A.VC_PRS_UNSNT..._T.._T..._Z.&amp;ly[rw]=GEO_PICT&amp;ly[cl]=TIME_PERIOD&amp;ly[rs]=INDICATOR&amp;to[TIME_PERIOD]=false</t>
  </si>
  <si>
    <t>https://stats-sdmx-disseminate.pacificdata.org/rest/data/SPC,DF_SDG_16,3.0/A.VC_PRS_UNSNT..._T.._T..._Z.?dimensionAtObservation=AllDimensions</t>
  </si>
  <si>
    <t>IX.11</t>
  </si>
  <si>
    <t>PEFA Assessment</t>
  </si>
  <si>
    <t>IX.12</t>
  </si>
  <si>
    <t>Improvement against 50% or more of SDGs</t>
  </si>
  <si>
    <t>X</t>
  </si>
  <si>
    <t>Peace &amp; security</t>
  </si>
  <si>
    <t>X.1</t>
  </si>
  <si>
    <t>SDG 16.7.2 - Proportion of population who believe decision-making is inclusive and responsive</t>
  </si>
  <si>
    <t>Proportion of population who believe decision-making is inclusive and responsive</t>
  </si>
  <si>
    <t>https://stats.pacificdata.org/vis?tm=sdg%2016&amp;pg=0&amp;hc[dataflowId]=DF_SDG_16&amp;df[ds]=ds%3ASPC2&amp;df[id]=DF_SDG_16&amp;df[ag]=SPC&amp;df[vs]=3.0&amp;pd=%2C&amp;dq=A.SPC_16_7_2.[TAG_GEO]._T._T._T._T..._Z.</t>
  </si>
  <si>
    <t>https://stats-nsi-stable.pacificdata.org/rest/data/SPC,DF_SDG_16,3.0/A.SPC_16_7_2.[TAG_GEO]._T._T._T._T..._Z.?dimensionAtObservation=AllDimensions</t>
  </si>
  <si>
    <t>X.2</t>
  </si>
  <si>
    <t>SDG 16.1.1 - Intentional homicides per 100,000 population</t>
  </si>
  <si>
    <t>Violent deaths (per 100,000)</t>
  </si>
  <si>
    <t>https://stats.pacificdata.org/vis?fs[0]=Development%20indicators%2C0%7CSustainable%20Development%20Goals%23SDG%23&amp;pg=10&amp;fc=Development%20indicators&amp;bp=true&amp;snb=18&amp;df[ds]=ds%3ASPC2&amp;df[id]=DF_SDG_16&amp;df[ag]=SPC&amp;df[vs]=3.0&amp;pd=%2C&amp;dq=A.VC_IHR_PSRC.._T.._T._T..._Z.&amp;ly[rw]=GEO_PICT&amp;ly[cl]=TIME_PERIOD&amp;ly[rs]=INDICATOR&amp;to[TIME_PERIOD]=false</t>
  </si>
  <si>
    <t>https://stats-sdmx-disseminate.pacificdata.org/rest/data/SPC,DF_SDG_16,3.0/A.VC_IHR_PSRC.._T.._T._T..._Z.?dimensionAtObservation=AllDimensions</t>
  </si>
  <si>
    <t>X.3</t>
  </si>
  <si>
    <t>Political and civil freedoms</t>
  </si>
  <si>
    <t>XI</t>
  </si>
  <si>
    <t>Social inclusion</t>
  </si>
  <si>
    <t>XI.1</t>
  </si>
  <si>
    <t>Teenage fertility rate (15-19)</t>
  </si>
  <si>
    <t>Teenage fertility rate (per 1,000 women aged 15-19 years)</t>
  </si>
  <si>
    <t>https://stats.pacificdata.org/vis?tm=teenage%20fertility&amp;pg=0&amp;df[ds]=ds%3ASPC2&amp;df[id]=DF_VITAL&amp;df[ag]=SPC&amp;df[vs]=1.0&amp;pd=%2C&amp;dq=A.[TAG_GEO].TNFR._T&amp;ly[cl]=TIME_PERIOD</t>
  </si>
  <si>
    <t>https://stats-nsi-stable.pacificdata.org/rest/data/SPC,DF_VITAL,1.0/A.[TAG_GEO].TNFR._T?dimensionAtObservation=AllDimensions</t>
  </si>
  <si>
    <t>XI.2</t>
  </si>
  <si>
    <t>SDG 5.2.2 - Proportion of women and girls aged 15 years and older subjected to sexual violence by persons other than an intimate partner</t>
  </si>
  <si>
    <t>Women who have experienced physical and/or sexual violence by an intimate partner (% population)</t>
  </si>
  <si>
    <t>https://stats.pacificdata.org/vis?tm=gender&amp;pg=0&amp;df[ds]=ds%3ASPC2&amp;df[id]=DF_SDG_05&amp;df[ag]=SPC&amp;df[vs]=3.0&amp;pd=%2C&amp;dq=A.SPC_5_2_2.[TAG_GEO].F.Y15T999._T..._T._Z.</t>
  </si>
  <si>
    <t>https://stats-nsi-stable.pacificdata.org/rest/data/SPC,DF_SDG_05,3.0/A.SPC_5_2_2.[TAG_GEO].F.Y15T999._T..._T._Z.?dimensionAtObservation=AllDimensions</t>
  </si>
  <si>
    <t>XI.3</t>
  </si>
  <si>
    <t>Ratio of female to male labor force participation rate (%) (modeled ILO estimate)</t>
  </si>
  <si>
    <t>Ratio of female to male labour force participation rate (%) (modelled ILO estimate)</t>
  </si>
  <si>
    <t>https://stats.pacificdata.org/vis?dq=A.[TAG_GEO].SL_TLF_CACT_FM_ZS&amp;pd=%2C&amp;frequency=A&amp;lc=en&amp;pg=0&amp;df[ds]=ds%3ASPC2&amp;df[id]=DF_WBWDI&amp;df[ag]=SPC&amp;df[vs]=1.0&amp;ly[cl]=TIME_PERIOD&amp;tm=wb%20</t>
  </si>
  <si>
    <t>https://stats-nsi-stable.pacificdata.org/rest/data/SPC,DF_WBWDI,1.0/A.[TAG_GEO].SL_TLF_CACT_FM_ZS?dimensionAtObservation=AllDimensions</t>
  </si>
  <si>
    <t>XI.4</t>
  </si>
  <si>
    <t>SDG 5.2.1 - Ever-partnered women and girls victim of physical, sexual or psychological violence by a current or former intimate partner in the previous 12 months</t>
  </si>
  <si>
    <t>Ever-partnered women and girls victim of physical, sexual or psychological violence by a current or former intimate partner in the previous 12 months</t>
  </si>
  <si>
    <t>https://stats.pacificdata.org/vis?tm=gender&amp;pg=0&amp;df[ds]=ds%3ASPC2&amp;df[id]=DF_SDG_05&amp;df[ag]=SPC&amp;df[vs]=3.0&amp;pd=%2C&amp;dq=A.VC_VAW_MARR.[TAG_GEO].F.Y15T999._T..._T._Z.</t>
  </si>
  <si>
    <t>https://stats-nsi-stable.pacificdata.org/rest/data/SPC,DF_SDG_05,3.0/A.VC_VAW_MARR.[TAG_GEO].F.Y15T999._T..._T._Z.?dimensionAtObservation=AllDimensions</t>
  </si>
  <si>
    <t>XI.5</t>
  </si>
  <si>
    <t>SDG 5.5.1 - Proportion of seats held by women in national parliaments</t>
  </si>
  <si>
    <t>Proportion of seats held by women in national parliaments</t>
  </si>
  <si>
    <t>https://stats.pacificdata.org/vis?tm=gender&amp;pg=0&amp;df[ds]=ds%3ASPC2&amp;df[id]=DF_SDG_05&amp;df[ag]=SPC&amp;df[vs]=3.0&amp;pd=%2C&amp;dq=A.SG_GEN_PARL.[TAG_GEO].F._T._T..._T._Z.&amp;ly[cl]=TIME_PERIOD</t>
  </si>
  <si>
    <t>https://stats-nsi-stable.pacificdata.org/rest/data/SPC,DF_SDG_05,3.0/A.SG_GEN_PARL.[TAG_GEO].F._T._T..._T._Z.?dimensionAtObservation=AllDimensions</t>
  </si>
  <si>
    <t>XI.6</t>
  </si>
  <si>
    <t>SDG 5.5.2 - Women in managerial positions</t>
  </si>
  <si>
    <t>Female share of employment in senior and middle management (%)</t>
  </si>
  <si>
    <t>https://stats.pacificdata.org/vis?tm=gender&amp;pg=0&amp;df[ds]=ds%3ASPC2&amp;df[id]=DF_SDG_05&amp;df[ag]=SPC&amp;df[vs]=3.0&amp;pd=%2C&amp;dq=A.IC_GEN_MGTL.[TAG_GEO]._T._T._T..._T._Z.&amp;ly[cl]=TIME_PERIOD</t>
  </si>
  <si>
    <t>https://stats-nsi-stable.pacificdata.org/rest/data/SPC,DF_SDG_05,3.0/A.IC_GEN_MGTL.[TAG_GEO]._T._T._T..._T._Z.?dimensionAtObservation=AllDimensions</t>
  </si>
  <si>
    <t>XI.7</t>
  </si>
  <si>
    <t>Labour Force Participation Rate (female)</t>
  </si>
  <si>
    <t>Labour Force Participation Rate by sex</t>
  </si>
  <si>
    <t>https://stats.pacificdata.org/vis?fs[0]=Topic%2C0%7CSocial%23SOC%23&amp;pg=0&amp;fc=Topic&amp;df[ds]=ds%3ASPC2&amp;df[id]=DF_EMPRATES&amp;df[ag]=SPC&amp;df[vs]=1.0&amp;pd=%2C&amp;dq=A.[TAG_GEO].LFPARTRATE.F._T._T._T</t>
  </si>
  <si>
    <t>https://stats-nsi-stable.pacificdata.org/rest/data/SPC,DF_EMPRATES,1.0/A.[TAG_GEO].LFPARTRATE.F._T._T._T?dimensionAtObservation=AllDimensions</t>
  </si>
  <si>
    <t>Was DF_NMDI_DEV</t>
  </si>
  <si>
    <t>XI.8</t>
  </si>
  <si>
    <t>Labour Force Participation Rate (male)</t>
  </si>
  <si>
    <t>https://stats.pacificdata.org/vis?fs[0]=Topic%2C0%7CSocial%23SOC%23&amp;pg=0&amp;fc=Topic&amp;df[ds]=ds%3ASPC2&amp;df[id]=DF_EMPRATES&amp;df[ag]=SPC&amp;df[vs]=1.0&amp;pd=%2C&amp;dq=A.[TAG_GEO].LFPARTRATE.M._T._T._T</t>
  </si>
  <si>
    <t>https://stats-nsi-stable.pacificdata.org/rest/data/SPC,DF_EMPRATES,1.0/A.[TAG_GEO].LFPARTRATE.M._T._T._T?dimensionAtObservation=AllDimensions</t>
  </si>
  <si>
    <t>XI.9</t>
  </si>
  <si>
    <t>Status of UN Human Rights Treaties (CDC, CEDAW)</t>
  </si>
  <si>
    <t>XI.10</t>
  </si>
  <si>
    <t>Human Rights Measurement Initiative - Empowerment score</t>
  </si>
  <si>
    <t>XI.11</t>
  </si>
  <si>
    <t>Types of violence against women by partner</t>
  </si>
  <si>
    <t>XI.12</t>
  </si>
  <si>
    <t>Human Rights Measurement Initiative  - Safety from the State score</t>
  </si>
  <si>
    <t>XI.13</t>
  </si>
  <si>
    <t>National retirement scheme ratio women to men</t>
  </si>
  <si>
    <t>XI.14</t>
  </si>
  <si>
    <t>Status of sexual orientation laws (parts can be core (legal) / non-core (protection against discrimination)</t>
  </si>
  <si>
    <t>XII</t>
  </si>
  <si>
    <t>Official Development Assistance</t>
  </si>
  <si>
    <t>XII.1</t>
  </si>
  <si>
    <t>SDG 10.b.1 - Total assistance for development, by recipient</t>
  </si>
  <si>
    <t>Aid by sector from all donors</t>
  </si>
  <si>
    <t>https://stats.pacificdata.org/vis?tm=sdg%2010&amp;pg=0&amp;hc[dataflowId]=DF_SDG_10&amp;df[ds]=ds%3ASPC2&amp;df[id]=DF_SDG_10&amp;df[ag]=SPC&amp;df[vs]=3.0&amp;pd=%2C&amp;dq=A.DC_TRF_TOTL.[TAG_GEO]......._Z.&amp;ly[cl]=TIME_PERIOD</t>
  </si>
  <si>
    <t>https://stats-nsi-stable.pacificdata.org/rest/data/SPC,DF_SDG_10,3.0/A.DC_TRF_TOTL.[TAG_GEO]......._Z.?dimensionAtObservation=AllDimensions</t>
  </si>
  <si>
    <t>XII.2</t>
  </si>
  <si>
    <t>SDG 17.15.1 - New development interventions drawn from country-led result frameworks by recipients of development cooperation</t>
  </si>
  <si>
    <t>New development interventions drawn from country-led result frameworks by recipients of development cooperation</t>
  </si>
  <si>
    <t>https://stats.pacificdata.org/vis?tm=sdg%2017&amp;pg=0&amp;hc[dataflowId]=DF_SDG_17&amp;df[ds]=ds%3ASPC2&amp;df[id]=DF_SDG_17&amp;df[ag]=SPC&amp;df[vs]=3.0&amp;pd=%2C&amp;dq=A.SG_PLN_RECNDI.[TAG_GEO]._T._T._T...._Z.&amp;ly[cl]=TIME_PERIOD</t>
  </si>
  <si>
    <t>https://stats-sdmx-disseminate.pacificdata.org/rest/data/SPC,DF_SDG_17,3.0/A.SG_PLN_RECNDI.[TAG_GEO]._T._T._T...._Z.?dimensionAtObservation=AllDimensions</t>
  </si>
  <si>
    <t>XII.3</t>
  </si>
  <si>
    <t>Top 5 donors</t>
  </si>
  <si>
    <t>XII.4</t>
  </si>
  <si>
    <t>Total donors / fragmentation</t>
  </si>
  <si>
    <t>XII.5</t>
  </si>
  <si>
    <t>Value of transactions, aid and development finance (spent)</t>
  </si>
  <si>
    <t>Total aid flows / aid/GDP</t>
  </si>
  <si>
    <t>https://stats.pacificdata.org/vis?lc=en&amp;tm=Total%20donors&amp;pg=0&amp;hc[Flow%20type]=Total&amp;hc[Donor]=Total&amp;snb=3&amp;df[ds]=ds%3ASPC2&amp;df[id]=DF_PAM&amp;df[ag]=SPC&amp;df[vs]=1.0&amp;pd=%2C&amp;dq=A.VU%2BTV%2BTO%2BSB%2BWS%2BPG%2BPW%2BNU%2BNR%2BFM%2BMH%2BKI%2BFJ%2BCK.TRVAL._T.SPE._T&amp;ly[cl]=TIME_PERIOD&amp;ly[rw]=GEO_PICT&amp;to[TIME_PERIOD]=false</t>
  </si>
  <si>
    <t>https://stats-sdmx-disseminate.pacificdata.org/rest/data/SPC,DF_PAM,1.0/A.VU+TV+TO+SB+WS+PG+PW+NU+NR+FM+MH+KI+FJ+CK.TRVAL._T.SPE._T?dimensionAtObservation=AllDimensions</t>
  </si>
  <si>
    <t>XII.6</t>
  </si>
  <si>
    <t>Value of transactions, aid and development finance (committed)</t>
  </si>
  <si>
    <t>https://stats.pacificdata.org/vis?lc=en&amp;tm=Total%20donors&amp;pg=0&amp;hc[Flow%20type]=Total&amp;hc[Donor]=Total&amp;snb=3&amp;df[ds]=ds%3ASPC2&amp;df[id]=DF_PAM&amp;df[ag]=SPC&amp;df[vs]=1.0&amp;pd=%2C&amp;dq=A.VU%2BTV%2BTO%2BSB%2BWS%2BPG%2BPW%2BNU%2BNR%2BFM%2BMH%2BKI%2BFJ%2BCK.TRVAL._T.COM._T&amp;ly[cl]=TIME_PERIOD&amp;ly[rw]=GEO_PICT&amp;to[TIME_PERIOD]=false</t>
  </si>
  <si>
    <t>https://stats-sdmx-disseminate.pacificdata.org/rest/data/SPC,DF_PAM,1.0/A.VU+TV+TO+SB+WS+PG+PW+NU+NR+FM+MH+KI+FJ+CK.TRVAL._T.COM._T?dimensionAtObservation=AllDimensions</t>
  </si>
  <si>
    <t>Comment 2026 exercise</t>
  </si>
  <si>
    <t>link</t>
  </si>
  <si>
    <t>2050 Dashboard</t>
  </si>
  <si>
    <t>https://stats.pacificdata.org/vis?fs[0]=Topic,0%7CMulti-domain%23XDO%23&amp;pg=0&amp;fc=Topic&amp;bp=true&amp;snb=6&amp;df[ds]=ds%3ASPC2&amp;df[id]=DF_KEYFACTS&amp;df[ag]=SPC&amp;pd=2020,&amp;dq=A..GOV&amp;ly[rw]=GEO_PICT&amp;to[TIME_PERIOD]=false</t>
  </si>
  <si>
    <t>https://stats-sdmx-disseminate.pacificdata.org/rest/data/SPC,DF_KEYFACTS,/A..GOV?startPeriod=2020&amp;dimensionAtObservation=AllDimensions</t>
  </si>
  <si>
    <t>cross checked and updated URLs to ommit particular version of DF (C. Idler)</t>
  </si>
  <si>
    <t>https://stats.pacificdata.org/vis?fs[0]=Development%20indicators,0%7CSustainable%20Development%20Goals%23SDG%23&amp;pg=0&amp;fc=Development%20indicators&amp;bp=true&amp;snb=18&amp;df[ds]=ds%3ASPC2&amp;df[id]=DF_SDG_05&amp;df[ag]=SPC&amp;pd=2025,&amp;dq=A..............&amp;to[TIME_PERIOD]=false</t>
  </si>
  <si>
    <t>https://stats-sdmx-disseminate.pacificdata.org/rest/data/SPC,DF_SDG_05,/A..............?startPeriod=2025&amp;dimensionAtObservation=AllDimensions</t>
  </si>
  <si>
    <t>cross checked and updated URLs to ommit particular version of DF and updated cut off year to 2025 (C. Idler)</t>
  </si>
  <si>
    <t>https://stats.pacificdata.org/vis?lc=en&amp;df[ds]=ds%3ASPC2&amp;df[id]=DF_POP_PROJ&amp;df[ag]=SPC&amp;dq=A..MIDYEARPOPEST._T._T&amp;pd=,&amp;ly[rw]=TIME_PERIOD&amp;to[TIME_PERIOD]=false</t>
  </si>
  <si>
    <t>https://stats-sdmx-disseminate.pacificdata.org/rest/data/SPC,DF_POP_PROJ,/A..MIDYEARPOPEST._T._T?dimensionAtObservation=AllDimensions</t>
  </si>
  <si>
    <t>https://stats.pacificdata.org/vis?lc=en&amp;df[ds]=ds%3ASPC2&amp;df[id]=DF_POP_URBAN&amp;df[ag]=SPC&amp;dq=A..POPRFCOU.U&amp;pd=,&amp;ly[rw]=TIME_PERIOD&amp;to[TIME_PERIOD]=false</t>
  </si>
  <si>
    <t>https://stats-sdmx-disseminate.pacificdata.org/rest/data/SPC,DF_POP_URBAN,/A..POPRFCOU.U?dimensionAtObservation=AllDimensions</t>
  </si>
  <si>
    <t>As with previous year, the indicator lacks definition</t>
  </si>
  <si>
    <t>Data to be updated (Census/CRVS)</t>
  </si>
  <si>
    <t>Data to be updated (MICS)</t>
  </si>
  <si>
    <t>SDG 3. 4. 1 - Mortality rate attributed to cardiovascular disease, cancer, diabetes or chronic respiratory disease</t>
  </si>
  <si>
    <t>https://stats.pacificdata.org/vis?fs[0]=Development%20indicators%2C0%7CSustainable%20Development%20Goals%23SDG%23&amp;pg=0&amp;fc=Development%20indicators&amp;bp=true&amp;snb=18&amp;df[ds]=ds%3ASPC2&amp;df[id]=DF_SDG_03&amp;df[ag]=SPC&amp;df[vs]=3.0&amp;dq=A.SH_DTH_NCD.._T._T._T..._T._Z.&amp;pd=%2C&amp;to[TIME_PERIOD]=false&amp;ly[cl]=TIME_PERIOD&amp;ly[rw]=GEO_PICT</t>
  </si>
  <si>
    <t>https://stats-sdmx-disseminate.pacificdata.org/rest/data/SPC,DF_SDG_03,3.0/A.SH_DTH_NCD.._T._T._T..._T._Z.?dimensionAtObservation=AllDimensions</t>
  </si>
  <si>
    <t>Flag as an SDG 3.4.1</t>
  </si>
  <si>
    <t>Status of NCD policy and legislation (Mana Dashboard)</t>
  </si>
  <si>
    <t>https://stats.pacificdata.org/vis?lc=en&amp;df[ds]=SPC2&amp;df[id]=DF_BP50&amp;df[ag]=SPC&amp;df[vs]=1.0&amp;av=true&amp;lo=1&amp;lom=LASTNOBSERVATIONS&amp;dq=A.BPI_MANAGL2%2BBPI_MANASL2%2BBPI_MANAL1.._T._T._T._T._T._T._Z._T&amp;to[TIME_PERIOD]=false&amp;ly[cl]=INDICATOR&amp;ly[rw]=GEO_PICT&amp;pd=%2C</t>
  </si>
  <si>
    <t>https://stats-sdmx-disseminate.pacificdata.org/rest/data/SPC,DF_BP50,1.0/A.BPI_MANAGL2+BPI_MANASL2+BPI_MANAL1.._T._T._T._T._T._T._Z._T?lastNObservations=1&amp;dimensionAtObservation=AllDimensions</t>
  </si>
  <si>
    <t>3 of these now available in 2050 Database. Other components can be added to 2050 as 'supplementary indicators'</t>
  </si>
  <si>
    <t>II.24</t>
  </si>
  <si>
    <t>Make a test with the 3 variables or decompose them</t>
  </si>
  <si>
    <t>II.25</t>
  </si>
  <si>
    <t>Educational attainment (% of males)</t>
  </si>
  <si>
    <t>https://stats.pacificdata.org/vis?tm=education%20attainement&amp;pg=0&amp;hc[Education%20level]=&amp;snb=1&amp;df[ds]=ds%3ASPC2&amp;df[id]=DF_EDUCATION&amp;df[ag]=SPC&amp;df[vs]=1.0&amp;dq=A...M._T._T._T.&amp;pd=%2C&amp;to[TIME_PERIOD]=false&amp;ly[cl]=EDUCATION%2CTIME_PERIOD&amp;ly[rw]=GEO_PICT&amp;lb=bt</t>
  </si>
  <si>
    <t>https://stats-sdmx-disseminate.pacificdata.org/rest/data/SPC,DF_EDUCATION,1.0/A...M._T._T._T.?dimensionAtObservation=AllDimensions</t>
  </si>
  <si>
    <t>New 2025 with the gender data / Need to ask Dissemination team to add the information by %</t>
  </si>
  <si>
    <t>Educational attainment (% of females)</t>
  </si>
  <si>
    <t>https://stats.pacificdata.org/vis?tm=education%20attainement&amp;pg=0&amp;hc[Education%20level]=&amp;snb=1&amp;df[ds]=ds%3ASPC2&amp;df[id]=DF_EDUCATION&amp;df[ag]=SPC&amp;df[vs]=1.0&amp;dq=A...F._T._T._T.&amp;pd=%2C&amp;to[TIME_PERIOD]=false&amp;ly[cl]=EDUCATION%2CTIME_PERIOD&amp;ly[rw]=GEO_PICT&amp;lb=bt</t>
  </si>
  <si>
    <t>https://stats-sdmx-disseminate.pacificdata.org/rest/data/SPC,DF_EDUCATION,1.0/A...F._T._T._T.?dimensionAtObservation=AllDimensions</t>
  </si>
  <si>
    <t>Primary education - Theorical Entry Age</t>
  </si>
  <si>
    <t>Need to ask dissemination team to add the information</t>
  </si>
  <si>
    <t>UNdata | record view | Primary education (ISCED 1) Theoretical Entry Age</t>
  </si>
  <si>
    <t>Not feasible for the moment</t>
  </si>
  <si>
    <t>UIS Data Browser</t>
  </si>
  <si>
    <t>III.25</t>
  </si>
  <si>
    <t>Duration of compulsory education (years)</t>
  </si>
  <si>
    <t>Could be calculated and added to the existing table 'Population Structure by Age'</t>
  </si>
  <si>
    <t>.Stat Data Explorer • Population structure by age</t>
  </si>
  <si>
    <t>To discuss with MFAT - we could add the index from German Watch but need to check the usefullness of it</t>
  </si>
  <si>
    <t>Data from OECD: can be update in may but need to create a new table</t>
  </si>
  <si>
    <t>OECD data directly from OECD or Lowy Institute - need a new table in .stat</t>
  </si>
  <si>
    <t>We can calculate this one with HIES - need a space in .stat</t>
  </si>
  <si>
    <t>Fisheries report cards at regional level - not feasible for the moment</t>
  </si>
  <si>
    <t>Discuss with MFAT, possible to add compoments of this</t>
  </si>
  <si>
    <t>Data fromWB - prosperity data Civil liberties index - Possible to add need a new table in .stat</t>
  </si>
  <si>
    <t>https://prosperitydata360.worldbank.org/en/indicator/VDEM+CORE+v2x_civlib</t>
  </si>
  <si>
    <t>In the SDG refactoring,  we need to include SG_NHR_CMPLNC which measures compliance on UN treaties</t>
  </si>
  <si>
    <t>Check with MICS</t>
  </si>
  <si>
    <t>1.3.1 Population above retirement age receiving a pension - Female</t>
  </si>
  <si>
    <t>https://stats.pacificdata.org/vis?tm=retirement&amp;pg=0&amp;snb=3&amp;df[ds]=ds%3ASPC2&amp;df[id]=DF_SDG_01&amp;df[ag]=SPC&amp;df[vs]=3.0&amp;dq=A.SI_COV_PENSN..M._T._T._T._T...&amp;pd=2016%2C2023&amp;to[TIME_PERIOD]=false&amp;ly[cl]=TIME_PERIOD&amp;ly[rw]=GEO_PICT</t>
  </si>
  <si>
    <t>https://stats-sdmx-disseminate.pacificdata.org/rest/data/SPC,DF_SDG_01,3.0/A.SI_COV_PENSN..M._T._T._T._T...?startPeriod=2016&amp;endPeriod=2023&amp;dimensionAtObservation=AllDimensions</t>
  </si>
  <si>
    <t>New indicator - SDG flag</t>
  </si>
  <si>
    <t>1.3.1 Population above retirement age receiving a pension - Male</t>
  </si>
  <si>
    <t>https://stats.pacificdata.org/vis?tm=retirement&amp;pg=0&amp;snb=3&amp;df[ds]=ds%3ASPC2&amp;df[id]=DF_SDG_01&amp;df[ag]=SPC&amp;df[vs]=3.0&amp;dq=A.SI_COV_PENSN..F._T._T._T._T...&amp;pd=2016%2C2023&amp;to[TIME_PERIOD]=false&amp;ly[cl]=TIME_PERIOD&amp;ly[rw]=GEO_PICT</t>
  </si>
  <si>
    <t>https://stats-sdmx-disseminate.pacificdata.org/rest/data/SPC,DF_SDG_01,3.0/A.SI_COV_PENSN..F._T._T._T._T...?startPeriod=2016&amp;endPeriod=2023&amp;dimensionAtObservation=AllDimensions</t>
  </si>
  <si>
    <t>XI.15</t>
  </si>
  <si>
    <t>Lowy Institute - Need to identify the top 5 by country (in the script or in a table)</t>
  </si>
  <si>
    <t>Lowy Institute - Populate this one directly in the script or on .stats</t>
  </si>
  <si>
    <t>include or clarify</t>
  </si>
  <si>
    <t>Indicator available from Pacific Data Hub</t>
  </si>
  <si>
    <t>MFAT Thematic Priority</t>
  </si>
  <si>
    <t>commment and or question from thematic advisers</t>
  </si>
  <si>
    <t>SDG Reference / match</t>
  </si>
  <si>
    <t>MFAT Dashboard Presence</t>
  </si>
  <si>
    <t>Where (section in the MFAT Dashboard)</t>
  </si>
  <si>
    <t>Comment Léo</t>
  </si>
  <si>
    <t>Alison review of 'No'</t>
  </si>
  <si>
    <t>Clarify</t>
  </si>
  <si>
    <t>Contraceptive prevalence rate</t>
  </si>
  <si>
    <t xml:space="preserve">An alternative, preferred indicator may be the proportion of women of reproductive age who have their need for mainly planning satisfied by modern contraceptive methods (SDG indicator). </t>
  </si>
  <si>
    <t>Yes</t>
  </si>
  <si>
    <t>2.2</t>
  </si>
  <si>
    <t>Disaggregated by subsector, can we include ECE?</t>
  </si>
  <si>
    <t>3.2</t>
  </si>
  <si>
    <t>from which source?</t>
  </si>
  <si>
    <t>16.7.1</t>
  </si>
  <si>
    <t>10.1</t>
  </si>
  <si>
    <t>No</t>
  </si>
  <si>
    <t>But we can add it easily because we have a dataset related to this topic called "Persons held in prison".</t>
  </si>
  <si>
    <t>Y</t>
  </si>
  <si>
    <t>Good to include free as well as compulsory perhaps?</t>
  </si>
  <si>
    <t>I don't find it on .STAT</t>
  </si>
  <si>
    <t>Not really an indicator, but a specified age range generally fixed.</t>
  </si>
  <si>
    <t xml:space="preserve">Grateful for more detail on the indicators for these.  </t>
  </si>
  <si>
    <t>In PDH but not in .Stat</t>
  </si>
  <si>
    <t xml:space="preserve">How is the promotion of primary health care services measured? For NCDs, I recommend we also include tobacco use as an indicator we monitor. Supportive of the continued inclusion of the indicator "premature mortality from NCDs".  </t>
  </si>
  <si>
    <t>3.4.1</t>
  </si>
  <si>
    <t>2.1</t>
  </si>
  <si>
    <t xml:space="preserve">In addition, we would be keen to discuss inclusion in the snapshot of indicators to measure water sanitation, hygiene and waste management (especially in health care facilities) as well as access to essential medicines (eg. Continuous availability/number of stock outs of essential medications in national pharmacies). </t>
  </si>
  <si>
    <t>3.8.1</t>
  </si>
  <si>
    <t>Literacy rate of youth (%ages 15-24), by sex</t>
  </si>
  <si>
    <t xml:space="preserve">Is it possible to include rural and urban schools/areas to capture potential disparities. </t>
  </si>
  <si>
    <t>4.6.1</t>
  </si>
  <si>
    <t>3.1</t>
  </si>
  <si>
    <t xml:space="preserve">Is it possible to include rural and urban schools/areas to capture potential disparities.  Can we include ECE also. </t>
  </si>
  <si>
    <t>4.5.1</t>
  </si>
  <si>
    <t>4.1.2</t>
  </si>
  <si>
    <t>I don't find the data related to the sdg indicator on .STAT</t>
  </si>
  <si>
    <t>N</t>
  </si>
  <si>
    <t xml:space="preserve">Keen for more details on what the indicator is (eg. which health cadre is the density measuring?) I note SDG target 3.c.1 is health worker density and distribution. From an equity perspective monitoring distribution would be advantageous. Happy to discuss esp as to what's tracked in Pacific Island Countries. </t>
  </si>
  <si>
    <t>3.c.1</t>
  </si>
  <si>
    <t>Keen to know definition of this - does this include midwives, nurses, and also a lower level of qualification? And perhaps drs also?</t>
  </si>
  <si>
    <t>3.1.2</t>
  </si>
  <si>
    <t>no indicator/source mentioned?</t>
  </si>
  <si>
    <t>16.3.2</t>
  </si>
  <si>
    <t>Education drop-out rates (%) (by sex and school year)</t>
  </si>
  <si>
    <t>Perhaps rural and urban in addition to year level and gender</t>
  </si>
  <si>
    <t>NMDI Indicator</t>
  </si>
  <si>
    <t xml:space="preserve">The preferred indicator would be met need for family planning, but contingent on that being measured consistently across countries. We are very keen to discuss further this and related indicators especially how they are being used and whether they should be in the snapshot itself. Other indicators we are monitoring are adolescent birth rate which we could include (if not reflected in equity and inclusion indicators). </t>
  </si>
  <si>
    <t xml:space="preserve">There is another indicator (line 83) that includes 'skilled birth attendance'  which looks like it encompasses more than only midwives and nurses.   Given there are two similar questions  (eg line 83) we need to know what info we are looking for  each question. We note the value of measuring all three but also that there is a shift towards skilled birth attendants especially from a localised perspective. </t>
  </si>
  <si>
    <t>Age dependency ratio, old (% of working-age population)</t>
  </si>
  <si>
    <t>Economics</t>
  </si>
  <si>
    <t xml:space="preserve">This is useful but has more direct applicability to economics than health. We'd be interested in having a sense of the population proportion of under fives, adolescents, and older persons for instance. Happy to discuss. </t>
  </si>
  <si>
    <t>But we can add it easily because we have a dataset related to this topic</t>
  </si>
  <si>
    <t>y</t>
  </si>
  <si>
    <t>economics</t>
  </si>
  <si>
    <t xml:space="preserve">To confirm is this under 5 years of age? </t>
  </si>
  <si>
    <t>3.2.1</t>
  </si>
  <si>
    <t>2.1 and 2.3</t>
  </si>
  <si>
    <t>It is under 1 year, you can see it when you click on the filter age and you have also child mortality rate on 2.3</t>
  </si>
  <si>
    <t>Useful to disaggregate to the extent possible (rural/urban, disability etc)</t>
  </si>
  <si>
    <t>Useful, but to ensure consistency across all MFAT documents using this indicator, we would like to advise PDH to use ADB data for real GDP growth.</t>
  </si>
  <si>
    <t>8.1.1</t>
  </si>
  <si>
    <t>1.2</t>
  </si>
  <si>
    <t xml:space="preserve">We note that this is an SDG target and the importance of retaining this. (Although indicators of emergency preparedness/health security proved to be inaccurate in this pandemic.) Potential others could up-to-dateness of pandemic preparedness plans and regular practice exercises (whole of government). </t>
  </si>
  <si>
    <t>What will be recorded - whether there has been a PEFA, or any discernible improvement??</t>
  </si>
  <si>
    <t>Would recommend indicators aligned with GHO and SDGs: Measles containing vaccine second-dose coverage; DTP%; HEPB3, and also we could start monitoring % of girls aged 15 receiving HPV vaccine. May also consider Oral Polio vaccine. If possible, could include whether they are fully or partially vaccinated for the routine immunisations to give fuller picture.</t>
  </si>
  <si>
    <t>3.b.1</t>
  </si>
  <si>
    <t>Measles immunisation was in NMDIs, has not been maintained. We have children aged 12-23 months who received: all basic vaccinations; BCG; 3rd dose of DPT, 3rd dose of polio.</t>
  </si>
  <si>
    <t xml:space="preserve">Would recommend this as above, rather than contraceptive prevalence rate, but that this may depend on what's measured/data availability in Pacific Island Countries. </t>
  </si>
  <si>
    <t>3.7.1</t>
  </si>
  <si>
    <t xml:space="preserve">Would recommend we monitor childhood obesity as well or instead. </t>
  </si>
  <si>
    <t>include</t>
  </si>
  <si>
    <t>Arrivals are a blunt measure, as they include returning locals, business, education etc, not only international  visitors.  Measure international visitor arrivals only.</t>
  </si>
  <si>
    <t>But we can add it easily because we have a dataset related to this topic (economic lead indicators)</t>
  </si>
  <si>
    <t>Y, but not to specificity of comment.</t>
  </si>
  <si>
    <t>Ocean &amp; Fisheries</t>
  </si>
  <si>
    <t>Coastal fisheries data is currently out of date, so should check with SPC if more recent data will be available.</t>
  </si>
  <si>
    <t>14.7.1</t>
  </si>
  <si>
    <t>But we have the data related to the 14.7.1 indicator wich is 14.7.1 Sustainable fisheries as a proportion of GDP</t>
  </si>
  <si>
    <t>Some data in fisheries Report Cards but these have not been provided to .stat</t>
  </si>
  <si>
    <t>Political Stability and Absence of Violence</t>
  </si>
  <si>
    <t>Could we include this in data connected with Peace and Security thematic priority too?</t>
  </si>
  <si>
    <t>WGI</t>
  </si>
  <si>
    <t>9.1</t>
  </si>
  <si>
    <t>Social Inclusion</t>
  </si>
  <si>
    <t>Could we include this in peace and security data also? Relevant to Women, Peace and Security goals</t>
  </si>
  <si>
    <t>5.2.1</t>
  </si>
  <si>
    <t>11.1</t>
  </si>
  <si>
    <t>5.2.2</t>
  </si>
  <si>
    <t>Data is collected by FFA  and provided in annual reporting</t>
  </si>
  <si>
    <t>Not in .Stat</t>
  </si>
  <si>
    <t>Climate &amp; Environment</t>
  </si>
  <si>
    <t>kind of usefl</t>
  </si>
  <si>
    <t>kind of useful</t>
  </si>
  <si>
    <t>8.2</t>
  </si>
  <si>
    <t>no indicator/source mentioned? Presumably WGI?</t>
  </si>
  <si>
    <t>Not currently in any 4YP - could be captured</t>
  </si>
  <si>
    <t>Related to compulsary school ages</t>
  </si>
  <si>
    <t xml:space="preserve">Not currently included in 4YP, broken down by age to the extent possible would be good. </t>
  </si>
  <si>
    <t>4.3.1</t>
  </si>
  <si>
    <t>Only for NC in 2015</t>
  </si>
  <si>
    <t xml:space="preserve">sort of useful </t>
  </si>
  <si>
    <t>4.1</t>
  </si>
  <si>
    <t>Infrastructure &amp; Energy</t>
  </si>
  <si>
    <t>Suggest adopting the Data Hub wording</t>
  </si>
  <si>
    <t>6.1.1</t>
  </si>
  <si>
    <t>6.1</t>
  </si>
  <si>
    <t>6.2.1</t>
  </si>
  <si>
    <t>The use of the "sustainble" is not workable in this case.  Current regional reporting is on all fisheries.</t>
  </si>
  <si>
    <t>8.1</t>
  </si>
  <si>
    <t>This indicator should also be reported by gender as well as total</t>
  </si>
  <si>
    <t>It's weird I can't find it. I think we should have this on .STAT but maybe I did'nt find it.</t>
  </si>
  <si>
    <t>This is perhaps wider than just governance. But I guess it needed a home?</t>
  </si>
  <si>
    <t>But we have something quite related to it : "support the achievement of the sustainable development goals" SDG 17</t>
  </si>
  <si>
    <t>Multi-faceted. Would need to be a composite of other SDG indicators, and require a methodology.</t>
  </si>
  <si>
    <t>Useful for all Pacific countries (not only Fiji and Timor-Leste).</t>
  </si>
  <si>
    <t>Why just Fiji citizen perceptions? What of other 4YPs?</t>
  </si>
  <si>
    <r>
      <t xml:space="preserve">Why only </t>
    </r>
    <r>
      <rPr>
        <b/>
        <sz val="11"/>
        <rFont val="Calibri"/>
        <family val="2"/>
        <scheme val="minor"/>
      </rPr>
      <t xml:space="preserve">Fiji </t>
    </r>
    <r>
      <rPr>
        <sz val="11"/>
        <rFont val="Calibri"/>
        <family val="2"/>
        <scheme val="minor"/>
      </rPr>
      <t xml:space="preserve">citizen perceptions? What of other 4YPs </t>
    </r>
  </si>
  <si>
    <t>Would be useful to have a good picture of the current state of affairs (% under poverty line) and trends (e.g. change since 2019).</t>
  </si>
  <si>
    <t>1.2.1</t>
  </si>
  <si>
    <t>4.3</t>
  </si>
  <si>
    <t>15.1.2</t>
  </si>
  <si>
    <t>7.4</t>
  </si>
  <si>
    <t>13.2.2</t>
  </si>
  <si>
    <t>7.5</t>
  </si>
  <si>
    <t>1.5.2 &amp; 11.5.2</t>
  </si>
  <si>
    <t>7.2</t>
  </si>
  <si>
    <t>1.5.1</t>
  </si>
  <si>
    <t>15.5.1</t>
  </si>
  <si>
    <t>8.5.1</t>
  </si>
  <si>
    <t>4.2</t>
  </si>
  <si>
    <t>8.5.2</t>
  </si>
  <si>
    <t>Gini Index (World Bank Estimate)</t>
  </si>
  <si>
    <t>8.6.1</t>
  </si>
  <si>
    <t>16.6.1</t>
  </si>
  <si>
    <t>But we can easily add it, we have it on a dataset called "covid-19 socio-economic impact indicators"</t>
  </si>
  <si>
    <t>But we can easily add it, we have it on a dataset called "Pocket Summary"</t>
  </si>
  <si>
    <t xml:space="preserve">Task for the new DIO to put in .Stat </t>
  </si>
  <si>
    <t>3.1.1</t>
  </si>
  <si>
    <t>2.1 and 2.2</t>
  </si>
  <si>
    <t>2.2.1</t>
  </si>
  <si>
    <t>But we can easily add it, we have it on the SDG 02</t>
  </si>
  <si>
    <t>But we can easily add it, we have it on a database called "WB DAI"</t>
  </si>
  <si>
    <t>But we can easily add it, we have it on a database called "E-Government Development Index"</t>
  </si>
  <si>
    <t>12.1</t>
  </si>
  <si>
    <t>We have it but in usd in millions</t>
  </si>
  <si>
    <t>5.3</t>
  </si>
  <si>
    <t>We have it but in USD per visitor</t>
  </si>
  <si>
    <t>8.9.1</t>
  </si>
  <si>
    <t>17.8.1</t>
  </si>
  <si>
    <t>5.2 and 12.1</t>
  </si>
  <si>
    <t>For 12.1 we have it but it's "Internet Users per 100 inhabitants"</t>
  </si>
  <si>
    <t>1.4.1</t>
  </si>
  <si>
    <t>6.2</t>
  </si>
  <si>
    <t>7.3.1</t>
  </si>
  <si>
    <t>7.1.2</t>
  </si>
  <si>
    <t>Only for few countries</t>
  </si>
  <si>
    <t>7.2.1</t>
  </si>
  <si>
    <t>14.4.1</t>
  </si>
  <si>
    <t>Only for Marshall Is. And PNG</t>
  </si>
  <si>
    <t>14.2.1</t>
  </si>
  <si>
    <t>New development interventions drawn from country-led results frameworks by recipients of development cooperation</t>
  </si>
  <si>
    <t>17.15.1</t>
  </si>
  <si>
    <t>10.b.1</t>
  </si>
  <si>
    <t>We have this indicator "10.b.1 Total assistance for development, by recipient"</t>
  </si>
  <si>
    <t>11.2</t>
  </si>
  <si>
    <t>This indicator "10.b.1 Total assistance for development, by recipient"</t>
  </si>
  <si>
    <t xml:space="preserve">Peace &amp; Security </t>
  </si>
  <si>
    <t>16.1.1</t>
  </si>
  <si>
    <t>"Violent deaths" it seems to be a bit generally</t>
  </si>
  <si>
    <t>16.7.2</t>
  </si>
  <si>
    <t>But only for PNG in 2015</t>
  </si>
  <si>
    <t>16.1.3</t>
  </si>
  <si>
    <t>11.4</t>
  </si>
  <si>
    <t>5.5.2</t>
  </si>
  <si>
    <t>We have "women in managerial positions" (percentage)</t>
  </si>
  <si>
    <t>5.5.1</t>
  </si>
  <si>
    <t>But we can easily add it fro mthe dataset : "National Minimum Development Indicators (NMDI) for Human Development"</t>
  </si>
  <si>
    <t>3.7.2</t>
  </si>
  <si>
    <t>11.3</t>
  </si>
  <si>
    <t>We should move it to the section "Health"</t>
  </si>
  <si>
    <t>N, but other HRMI scores available.</t>
  </si>
  <si>
    <t>But we can easily add it from the dataset : "National Minimum Development Indicators (NMDI) for Human Development"</t>
  </si>
  <si>
    <t>Alternative: population above retirement age receiving a pension</t>
  </si>
  <si>
    <t>But we have data about this subject on the dataset :"Selection of indicators from the Human Rights Measurement Initiative (HRMI)"</t>
  </si>
  <si>
    <t>16.a.1 proxy</t>
  </si>
  <si>
    <t>SPC Contextual indicators</t>
  </si>
  <si>
    <t>No but we can easily add it, we have it on the dataset called "Coastal Population (1, 5 and 10km from coast)"</t>
  </si>
  <si>
    <t>But we can easily add it from the dataset : "Population structure by age"</t>
  </si>
  <si>
    <t>"Environmental Sustainability" it seems to be a bit generally</t>
  </si>
  <si>
    <t>I don't find it on .STAT. We could add it on the dataset :"About PICTs" but we have to change the data at each election…</t>
  </si>
  <si>
    <t>But we have "16.7.1 Number of chairs of permanent committees, by age sex and focus of the committee, Lower Chamber or Unicameral" and "16.7.1 Number of chairs of permanent committees, by age sex and focus of the committee, Upper Chamber"</t>
  </si>
  <si>
    <t>No of seats held by women</t>
  </si>
  <si>
    <t>15.1.1</t>
  </si>
  <si>
    <t>https://stats-sdmx-disseminate.pacificdata.org/rest/data/SPC,DF_SDG_01,4.3/A.G.SI_POV_NAHC.._T._T._T........?dimensionAtObservation=AllDimensions</t>
  </si>
  <si>
    <t>https://stats.pacificdata.org/vis?fs[0]=Development%20indicators,0%7CSustainable%20Development%20Goals%23SDG%23&amp;pg=0&amp;fc=Development%20indicators&amp;bp=true&amp;snb=18&amp;df[ds]=ds%3ASPC2&amp;df[id]=DF_SDG_01&amp;df[ag]=SPC&amp;df[vs]=4.3&amp;dq=A.G.SI_POV_NAHC.._T._T._T........&amp;pd=,&amp;to[TIME_PERIOD]=false</t>
  </si>
  <si>
    <t>SDG 1.2.1 - Proportion of population living below the national poverty line</t>
  </si>
  <si>
    <t>VII.12</t>
  </si>
  <si>
    <t>SDG 1.5.2, 11.5.2 - Direct disaster economic loss, average annual loss</t>
  </si>
  <si>
    <t>SDG  1.5.2, 11.5.2 - Direct economic loss attributed to disasters relative to GDP</t>
  </si>
  <si>
    <t>https://stats.pacificdata.org/vis?fs[0]=Development%20indicators,0%7CSustainable%20Development%20Goals%23SDG%23&amp;pg=10&amp;fc=Development%20indicators&amp;bp=true&amp;snb=18&amp;df[ds]=ds%3ASPC2&amp;df[id]=DF_SDG_11&amp;df[ag]=SPC&amp;df[vs]=4.3&amp;dq=A.G.VC_DSR_GDPLS............&amp;pd=,&amp;to[TIME_PERIOD]=false&amp;isAvailabilityDisabled=false&amp;page=0</t>
  </si>
  <si>
    <t>https://stats-sdmx-disseminate.pacificdata.org/rest/data/SPC,DF_SDG_11,4.3/A.G.VC_DSR_GDPLS............?dimensionAtObservation=AllDimensions</t>
  </si>
  <si>
    <t>Flag as SDG + change the URL with the new SDG tables // No disaggregation available (AS)</t>
  </si>
  <si>
    <t>URLs changed (AS)</t>
  </si>
  <si>
    <t>SDG 1.5.2: Direct economic loss attributed to disasters relative to GDP</t>
  </si>
  <si>
    <t>https://stats.pacificdata.org/vis?fs[0]=Development%20indicators,0%7CSustainable%20Development%20Goals%23SDG%23&amp;pg=10&amp;fc=Development%20indicators&amp;bp=true&amp;snb=18&amp;df[ds]=ds%3ASPC2&amp;df[id]=DF_SDG_11&amp;df[ag]=SPC&amp;df[vs]=4.3&amp;dq=A.G.VC_DSR_LSGP............&amp;pd=,&amp;to[TIME_PERIOD]=false&amp;isAvailabilityDisabled=false&amp;page=0</t>
  </si>
  <si>
    <t>https://stats-sdmx-disseminate.pacificdata.org/rest/data/SPC,DF_SDG_11,4.3/A.G.VC_DSR_LSGP............?dimensionAtObservation=AllDimensions</t>
  </si>
  <si>
    <t>Indicators added for MFAT, flag SDG (AS)</t>
  </si>
  <si>
    <t>SDG 11.b.2 -  Proportion of local governments that adopt and implement local disaster risk reduction strategies.</t>
  </si>
  <si>
    <t>VII.13</t>
  </si>
  <si>
    <t>DF_SDG_11</t>
  </si>
  <si>
    <t>I added this indicator as it was requested by MFAT but no data for the moment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</si>
</sst>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9"/>
      <color indexed="81"/>
      <name val="Tahoma"/>
      <family val="2"/>
    </font>
    <font>
      <b/>
      <sz val="9"/>
      <color indexed="81"/>
      <name val="Tahoma"/>
      <family val="2"/>
    </font>
    <font>
      <b/>
      <sz val="11"/>
      <color theme="0"/>
      <name val="Calibri"/>
      <family val="2"/>
      <scheme val="minor"/>
    </font>
    <font>
      <sz val="11"/>
      <name val="Calibri"/>
      <family val="2"/>
      <scheme val="minor"/>
    </font>
    <font>
      <b/>
      <sz val="11"/>
      <name val="Calibri"/>
      <family val="2"/>
      <scheme val="minor"/>
    </font>
    <font>
      <sz val="11"/>
      <color rgb="FFFF0000"/>
      <name val="Calibri"/>
      <family val="2"/>
      <scheme val="minor"/>
    </font>
    <font>
      <sz val="11"/>
      <color theme="0"/>
      <name val="Calibri"/>
      <family val="2"/>
      <scheme val="minor"/>
    </font>
    <font>
      <sz val="11"/>
      <color theme="9" tint="-0.249977111117893"/>
      <name val="Calibri"/>
      <family val="2"/>
      <scheme val="minor"/>
    </font>
  </fonts>
  <fills count="13">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
      <patternFill patternType="solid">
        <fgColor theme="9" tint="0.79998168889431442"/>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9">
    <xf numFmtId="0" fontId="0" fillId="0" borderId="0" xfId="0"/>
    <xf numFmtId="0" fontId="1" fillId="2" borderId="0" xfId="0" applyFont="1" applyFill="1"/>
    <xf numFmtId="0" fontId="1" fillId="3" borderId="0" xfId="0" applyFont="1" applyFill="1"/>
    <xf numFmtId="0" fontId="1" fillId="4" borderId="0" xfId="0" applyFont="1" applyFill="1"/>
    <xf numFmtId="0" fontId="3" fillId="0" borderId="0" xfId="1"/>
    <xf numFmtId="0" fontId="3" fillId="0" borderId="0" xfId="1" applyFill="1"/>
    <xf numFmtId="0" fontId="0" fillId="5" borderId="0" xfId="0" applyFill="1"/>
    <xf numFmtId="0" fontId="6" fillId="6" borderId="0" xfId="0" applyFont="1" applyFill="1" applyAlignment="1">
      <alignment horizontal="center" vertical="top" wrapText="1"/>
    </xf>
    <xf numFmtId="0" fontId="6" fillId="6" borderId="0" xfId="0" applyFont="1" applyFill="1" applyAlignment="1">
      <alignment horizontal="center" vertical="center" wrapText="1"/>
    </xf>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0" fontId="7"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7" fillId="7" borderId="1" xfId="0" applyFont="1" applyFill="1" applyBorder="1" applyAlignment="1">
      <alignment horizontal="left" vertical="top" wrapText="1"/>
    </xf>
    <xf numFmtId="0" fontId="3" fillId="0" borderId="0" xfId="1" applyAlignment="1">
      <alignment vertical="center"/>
    </xf>
    <xf numFmtId="0" fontId="0" fillId="0" borderId="0" xfId="0" applyAlignment="1">
      <alignment horizontal="left"/>
    </xf>
    <xf numFmtId="0" fontId="1" fillId="3" borderId="0" xfId="0" applyFont="1" applyFill="1" applyAlignment="1">
      <alignment horizontal="center"/>
    </xf>
    <xf numFmtId="0" fontId="0" fillId="0" borderId="0" xfId="0" applyAlignment="1">
      <alignment horizontal="center"/>
    </xf>
    <xf numFmtId="0" fontId="3" fillId="8" borderId="0" xfId="1" applyFill="1"/>
    <xf numFmtId="0" fontId="8" fillId="3" borderId="0" xfId="0" applyFont="1" applyFill="1"/>
    <xf numFmtId="0" fontId="7" fillId="0" borderId="0" xfId="0" applyFont="1"/>
    <xf numFmtId="0" fontId="7" fillId="8" borderId="0" xfId="0" applyFont="1" applyFill="1"/>
    <xf numFmtId="0" fontId="8" fillId="4" borderId="0" xfId="0" applyFont="1" applyFill="1"/>
    <xf numFmtId="0" fontId="1" fillId="2" borderId="0" xfId="0" applyFont="1" applyFill="1" applyAlignment="1">
      <alignment horizontal="center"/>
    </xf>
    <xf numFmtId="0" fontId="0" fillId="9" borderId="0" xfId="0" applyFill="1"/>
    <xf numFmtId="0" fontId="9" fillId="5" borderId="0" xfId="0" applyFont="1" applyFill="1"/>
    <xf numFmtId="0" fontId="9" fillId="0" borderId="0" xfId="0" applyFont="1"/>
    <xf numFmtId="0" fontId="0" fillId="8" borderId="0" xfId="0" applyFill="1" applyAlignment="1">
      <alignment horizontal="center"/>
    </xf>
    <xf numFmtId="0" fontId="7" fillId="10" borderId="0" xfId="0" applyFont="1" applyFill="1"/>
    <xf numFmtId="0" fontId="7" fillId="11" borderId="0" xfId="0" applyFont="1" applyFill="1"/>
    <xf numFmtId="0" fontId="10" fillId="12" borderId="0" xfId="0" applyFont="1" applyFill="1"/>
    <xf numFmtId="0" fontId="10" fillId="12" borderId="0" xfId="0" applyFont="1" applyFill="1" applyAlignment="1">
      <alignment wrapText="1"/>
    </xf>
    <xf numFmtId="0" fontId="10" fillId="12" borderId="0" xfId="0" applyFont="1" applyFill="1" applyAlignment="1">
      <alignment horizontal="left" vertical="center" wrapText="1"/>
    </xf>
    <xf numFmtId="0" fontId="11" fillId="0" borderId="0" xfId="0" applyFont="1"/>
    <xf numFmtId="0" fontId="10" fillId="0" borderId="0" xfId="0" applyFont="1" applyFill="1"/>
    <xf numFmtId="0" fontId="0"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stats.pacificdata.org/vis?tm=nmdi&amp;pg=0&amp;df%5bds%5d=ds%3ASPC2&amp;df%5bid%5d=DF_NMDI_FIS&amp;df%5bag%5d=SPC&amp;df%5bvs%5d=1.0&amp;pd=%2C&amp;dq=A.%5bTAG_GEO%5d.NMDI0057._T._T._T.." TargetMode="External"/><Relationship Id="rId21" Type="http://schemas.openxmlformats.org/officeDocument/2006/relationships/hyperlink" Target="https://stats-nsi-stable.pacificdata.org/rest/data/SPC,DF_SDG_03,3.0/A.SH_IHR_CAPS.%5bTAG_GEO%5d._T._T._T..._T._Z.?dimensionAtObservation=AllDimensions" TargetMode="External"/><Relationship Id="rId42" Type="http://schemas.openxmlformats.org/officeDocument/2006/relationships/hyperlink" Target="https://stats-nsi-stable.pacificdata.org/rest/data/SPC,DF_WBDAI,1.0/A.%5bTAG_GEO%5d.DAI?dimensionAtObservation=AllDimensions" TargetMode="External"/><Relationship Id="rId63" Type="http://schemas.openxmlformats.org/officeDocument/2006/relationships/hyperlink" Target="https://stats-nsi-stable.pacificdata.org/rest/data/SPC,DF_WBWGI,1.0/A.%5bTAG_GEO%5d.VA_EST?dimensionAtObservation=AllDimensions" TargetMode="External"/><Relationship Id="rId84" Type="http://schemas.openxmlformats.org/officeDocument/2006/relationships/hyperlink" Target="https://stats.pacificdata.org/vis?lc=en&amp;df%5bds%5d=ds%3ASPC2&amp;df%5bid%5d=DF_POP_AGE&amp;df%5bag%5d=SPC&amp;df%5bvs%5d=1.0&amp;dq=A.%5bTAG_GEO%5d.DEPRATIO1564._T&amp;pd=%2C&amp;ly%5brw%5d=TIME_PERIOD" TargetMode="External"/><Relationship Id="rId138" Type="http://schemas.openxmlformats.org/officeDocument/2006/relationships/hyperlink" Target="https://stats.pacificdata.org/vis?tm=voice%20and%20accountability&amp;pg=0&amp;hc%5bIndicator%5d=Voice%20and%20Accountability&amp;df%5bds%5d=ds%3ASPC2&amp;df%5bid%5d=DF_WBWGI&amp;df%5bag%5d=SPC&amp;df%5bvs%5d=1.0&amp;pd=%2C&amp;dq=A.%5bTAG_GEO%5d.PV_EST&amp;ly%5bcl%5d=TIME_PERIOD" TargetMode="External"/><Relationship Id="rId159" Type="http://schemas.openxmlformats.org/officeDocument/2006/relationships/hyperlink" Target="https://stats.pacificdata.org/vis?fs%5b0%5d=Topic%2C0%7CEconomy%23ECO%23&amp;pg=0&amp;fc=Topic&amp;df%5bds%5d=ds%3ASPC2&amp;df%5bid%5d=DF_NATIONAL_ACCOUNTS&amp;df%5bag%5d=SPC&amp;df%5bvs%5d=1.0&amp;pd=%2C2021&amp;dq=A.USD.%5bTAG_GEO%5d.GDPCVR&amp;ly%5bcl%5d=TIME_PERIOD" TargetMode="External"/><Relationship Id="rId170" Type="http://schemas.openxmlformats.org/officeDocument/2006/relationships/hyperlink" Target="https://stats.pacificdata.org/vis?fs%5b0%5d=Development%20indicators%2C0%7CSustainable%20Development%20Goals%23SDG%23&amp;pg=0&amp;fc=Development%20indicators&amp;bp=true&amp;snb=18&amp;df%5bds%5d=ds%3ASPC2&amp;df%5bid%5d=DF_SDG_05&amp;df%5bag%5d=SPC&amp;df%5bvs%5d=3.0&amp;pd=2015%2C2022&amp;dq=A.SG_GEN_PARLNT.........&amp;ly%5brw%5d=GEO_PICT&amp;ly%5bcl%5d=TIME_PERIOD" TargetMode="External"/><Relationship Id="rId191" Type="http://schemas.openxmlformats.org/officeDocument/2006/relationships/hyperlink" Target="https://stats.pacificdata.org/vis?lc=en&amp;tm=Total%20donors&amp;pg=0&amp;hc%5bFlow%20type%5d=Total&amp;hc%5bDonor%5d=Total&amp;snb=3&amp;df%5bds%5d=ds%3ASPC2&amp;df%5bid%5d=DF_PAM&amp;df%5bag%5d=SPC&amp;df%5bvs%5d=1.0&amp;pd=%2C&amp;dq=A.VU%2BTV%2BTO%2BSB%2BWS%2BPG%2BPW%2BNU%2BNR%2BFM%2BMH%2BKI%2BFJ%2BCK.TRVAL._T.SPE._T&amp;ly%5bcl%5d=TIME_PERIOD&amp;ly%5brw%5d=GEO_PICT&amp;to%5bTIME_PERIOD%5d=false" TargetMode="External"/><Relationship Id="rId205" Type="http://schemas.openxmlformats.org/officeDocument/2006/relationships/hyperlink" Target="https://stats.pacificdata.org/vis?tm=proficiency&amp;pg=0&amp;snb=4&amp;df%5bds%5d=ds%3ASPC2&amp;df%5bid%5d=DF_SDG_04&amp;df%5bag%5d=SPC&amp;df%5bvs%5d=3.0&amp;pd=%2C&amp;dq=A.SE_TOT_PRFL..F._T._T._T.1_g7%2B1_y6..SKILL_MIN_LTRCY.&amp;ly%5brw%5d=GEO_PICT%2CEDUCATION%2CCOMPOSITE_BREAKDOWN&amp;ly%5bcl%5d=TIME_PERIOD&amp;ly%5brs%5d=INDICATOR&amp;to%5bTIME_PERIOD%5d=false" TargetMode="External"/><Relationship Id="rId226"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HEA&amp;df%5bag%5d=SPC&amp;df%5bvs%5d=1.0&amp;pd=%2C&amp;dq=A..NMDI0103._T._T._T..&amp;ly%5brw%5d=GEO_PICT&amp;ly%5bcl%5d=TIME_PERIOD&amp;to%5bTIME_PERIOD%5d=false" TargetMode="External"/><Relationship Id="rId107" Type="http://schemas.openxmlformats.org/officeDocument/2006/relationships/hyperlink" Target="https://stats.pacificdata.org/vis?tm=decent%20work&amp;pg=0&amp;df%5bds%5d=ds%3ASPC2&amp;df%5bid%5d=DF_SDG_08&amp;df%5bag%5d=SPC&amp;df%5bvs%5d=3.0&amp;pd=%2C&amp;dq=A.SL_EMP_EARN.%5bTAG_GEO%5d._T._T._T..._T.._T" TargetMode="External"/><Relationship Id="rId11" Type="http://schemas.openxmlformats.org/officeDocument/2006/relationships/hyperlink" Target="https://stats-nsi-stable.pacificdata.org/rest/data/SPC,DF_SDG_03,3.0/.SH_DYN_IMRT.%5bTAG_GEO%5d._T.......?dimensionAtObservation=AllDimensions" TargetMode="External"/><Relationship Id="rId32" Type="http://schemas.openxmlformats.org/officeDocument/2006/relationships/hyperlink" Target="https://stats-nsi-stable.pacificdata.org/rest/data/SPC,DF_WBWDI,1.0/A.%5bTAG_GEO%5d.NV_SRV_TOTL_ZS?dimensionAtObservation=AllDimensions" TargetMode="External"/><Relationship Id="rId53" Type="http://schemas.openxmlformats.org/officeDocument/2006/relationships/hyperlink" Target="https://stats-nsi-stable.pacificdata.org/rest/data/SPC,DF_SDG_11,3.0/A.VC_DSR_MORT.%5bTAG_GEO%5d..._T.....?dimensionAtObservation=AllDimensions" TargetMode="External"/><Relationship Id="rId74" Type="http://schemas.openxmlformats.org/officeDocument/2006/relationships/hyperlink" Target="https://stats-nsi-stable.pacificdata.org/rest/data/SPC,DF_SDG_05,3.0/A.VC_VAW_MARR.%5bTAG_GEO%5d.F.Y15T999._T..._T._Z.?dimensionAtObservation=AllDimensions" TargetMode="External"/><Relationship Id="rId128" Type="http://schemas.openxmlformats.org/officeDocument/2006/relationships/hyperlink" Target="https://stats.pacificdata.org/vis?tm=rural%20population&amp;pg=0&amp;hc%5bTopic%5d=Population&amp;hc%5bUrbanization%5d=Rural&amp;df%5bds%5d=ds%3ASPC2&amp;df%5bid%5d=DF_POP_URBAN&amp;df%5bag%5d=SPC&amp;df%5bvs%5d=1.0&amp;pd=%2C&amp;dq=A.%5bTAG_GEO%5d.POPRFCOU.R" TargetMode="External"/><Relationship Id="rId149" Type="http://schemas.openxmlformats.org/officeDocument/2006/relationships/hyperlink" Target="https://stats.pacificdata.org/vis?dq=A.SH_MED_DEN.%5bTAG_GEO%5d._T._T._T._T._T.222._Z._T&amp;pd=%2C&amp;frequency=A&amp;lc=en&amp;pg=0&amp;df%5bds%5d=SPC2&amp;df%5bid%5d=DF_SDG_03&amp;df%5bag%5d=SPC&amp;df%5bvs%5d=3.0&amp;ly%5bcl%5d=TIME_PERIOD" TargetMode="External"/><Relationship Id="rId5" Type="http://schemas.openxmlformats.org/officeDocument/2006/relationships/hyperlink" Target="https://stats-nsi-stable.pacificdata.org/rest/data/SPC,DF_POP_DENSITY,1.0/A.%5bTAG_GEO%5d.POPDENSITY?dimensionAtObservation=AllDimensions" TargetMode="External"/><Relationship Id="rId95" Type="http://schemas.openxmlformats.org/officeDocument/2006/relationships/hyperlink" Target="https://stats.pacificdata.org/vis?lc=en&amp;tm=mortality%20rate&amp;pg=0&amp;df%5bds%5d=ds%3ASPC2&amp;df%5bid%5d=DF_NMDI_HEA&amp;df%5bag%5d=SPC&amp;df%5bvs%5d=1.0&amp;pd=%2C&amp;dq=A.%5bTAG_GEO%5d.SH_DTH_NCD._T._T._T..&amp;ly%5bcl%5d=TIME_PERIOD" TargetMode="External"/><Relationship Id="rId160" Type="http://schemas.openxmlformats.org/officeDocument/2006/relationships/hyperlink" Target="https://stats-nsi-stable.pacificdata.org/rest/data/SPC,DF_NATIONAL_ACCOUNTS,1.0/A.USD.%5bTAG_GEO%5d.GDPCVR?endPeriod=2021&amp;dimensionAtObservation=AllDimensions" TargetMode="External"/><Relationship Id="rId181" Type="http://schemas.openxmlformats.org/officeDocument/2006/relationships/hyperlink" Target="https://stats-sdmx-disseminate.pacificdata.org/rest/data/SPC,DF_KEYFACTS,1.0/A.%5bTAG_GEO%5d.GOV?dimensionAtObservation=AllDimensions" TargetMode="External"/><Relationship Id="rId216" Type="http://schemas.openxmlformats.org/officeDocument/2006/relationships/hyperlink" Target="https://stats.pacificdata.org/vis?dq=A.SH_MED_DEN.._T._T._T._T._T.2261._Z._T&amp;pd=%2C&amp;frequency=A&amp;lc=en&amp;pg=0&amp;df%5bds%5d=SPC2&amp;df%5bid%5d=DF_SDG_03&amp;df%5bag%5d=SPC&amp;df%5bvs%5d=3.0&amp;ly%5bcl%5d=TIME_PERIOD&amp;to%5bTIME_PERIOD%5d=false" TargetMode="External"/><Relationship Id="rId22" Type="http://schemas.openxmlformats.org/officeDocument/2006/relationships/hyperlink" Target="https://stats-nsi-stable.pacificdata.org/rest/data/SPC,DF_SDG_03,3.0/A.SH_FPL_MTMM.%5bTAG_GEO%5d.F.Y15T49._T..._T._Z.?dimensionAtObservation=AllDimensions" TargetMode="External"/><Relationship Id="rId43" Type="http://schemas.openxmlformats.org/officeDocument/2006/relationships/hyperlink" Target="https://stats-nsi-stable.pacificdata.org/rest/data/SPC,DF_DIGITAL_DEVELOPMENT,1.0/A.%5bTAG_GEO%5d.DD024?dimensionAtObservation=AllDimensions" TargetMode="External"/><Relationship Id="rId64" Type="http://schemas.openxmlformats.org/officeDocument/2006/relationships/hyperlink" Target="https://stats-nsi-stable.pacificdata.org/rest/data/SPC,DF_WBWGI,1.0/A.%5bTAG_GEO%5d.RL_EST?dimensionAtObservation=AllDimensions" TargetMode="External"/><Relationship Id="rId118" Type="http://schemas.openxmlformats.org/officeDocument/2006/relationships/hyperlink" Target="https://stats.pacificdata.org/vis?tm=nmdi&amp;pg=0&amp;df%5bds%5d=ds%3ASPC2&amp;df%5bid%5d=DF_NMDI_FIS&amp;df%5bag%5d=SPC&amp;df%5bvs%5d=1.0&amp;pd=%2C&amp;dq=A.%5bTAG_GEO%5d.NMDI0059._T._T._T.." TargetMode="External"/><Relationship Id="rId139" Type="http://schemas.openxmlformats.org/officeDocument/2006/relationships/hyperlink" Target="https://stats.pacificdata.org/vis?tm=prison&amp;pg=0&amp;df%5bds%5d=ds%3ASPC2&amp;df%5bid%5d=DF_PRISON&amp;df%5bag%5d=SPC&amp;df%5bvs%5d=1.0&amp;pd=%2C&amp;dq=A.%5bTAG_GEO%5d.COUNT&amp;ly%5brw%5d=TIME_PERIOD" TargetMode="External"/><Relationship Id="rId85" Type="http://schemas.openxmlformats.org/officeDocument/2006/relationships/hyperlink" Target="https://stats.pacificdata.org/vis?lc=en&amp;df%5bds%5d=ds%3ASPC2&amp;df%5bid%5d=DF_POP_COAST&amp;df%5bag%5d=SPC&amp;df%5bvs%5d=2.0&amp;dq=A.%5bTAG_GEO%5d.COASTALPOPRF.1KM&amp;pd=%2C&amp;ly%5brw%5d=TIME_PERIOD" TargetMode="External"/><Relationship Id="rId150" Type="http://schemas.openxmlformats.org/officeDocument/2006/relationships/hyperlink" Target="https://stats.pacificdata.org/vis?lc=en&amp;tm=sdg%20health&amp;pg=0&amp;df%5bds%5d=ds%3ASPC2&amp;df%5bid%5d=DF_SDG_03&amp;df%5bag%5d=SPC&amp;df%5bvs%5d=3.0&amp;pd=%2C&amp;dq=A.SH_IHR_CAPS.%5bTAG_GEO%5d._T._T._T..._T._Z." TargetMode="External"/><Relationship Id="rId171" Type="http://schemas.openxmlformats.org/officeDocument/2006/relationships/hyperlink" Target="https://stats-sdmx-disseminate.pacificdata.org/rest/data/SPC,DF_SDG_05,3.0/A.SG_GEN_PARLNT.%5bTAG_GEO%5d........?dimensionAtObservation=AllDimensions" TargetMode="External"/><Relationship Id="rId192" Type="http://schemas.openxmlformats.org/officeDocument/2006/relationships/hyperlink" Target="https://stats-sdmx-disseminate.pacificdata.org/rest/data/SPC,DF_PAM,1.0/A.VU+TV+TO+SB+WS+PG+PW+NU+NR+FM+MH+KI+FJ+CK.TRVAL._T.SPE._T?dimensionAtObservation=AllDimensions" TargetMode="External"/><Relationship Id="rId206" Type="http://schemas.openxmlformats.org/officeDocument/2006/relationships/hyperlink" Target="https://stats-sdmx-disseminate.pacificdata.org/rest/data/SPC,DF_SDG_04,3.0/A.SE_TOT_PRFL..F._T._T._T.1_g7+1_y6..SKILL_MIN_LTRCY.?dimensionAtObservation=AllDimensions" TargetMode="External"/><Relationship Id="rId227" Type="http://schemas.openxmlformats.org/officeDocument/2006/relationships/hyperlink" Target="https://stats-sdmx-disseminate.pacificdata.org/rest/data/SPC,DF_NMDI_HEA,1.0/A..NMDI0103._T._T._T..?dimensionAtObservation=AllDimensions" TargetMode="External"/><Relationship Id="rId12" Type="http://schemas.openxmlformats.org/officeDocument/2006/relationships/hyperlink" Target="https://stats-nsi-stable.pacificdata.org/rest/data/SPC,DF_SDG_03,3.0/.SPC_3_8_1.%5bTAG_GEO%5d........?dimensionAtObservation=AllDimensions" TargetMode="External"/><Relationship Id="rId33" Type="http://schemas.openxmlformats.org/officeDocument/2006/relationships/hyperlink" Target="https://stats-nsi-stable.pacificdata.org/rest/data/SPC,DF_SDG_01,3.0/A.SI_POV_NAHC.%5bTAG_GEO%5d._T._T._T._T._T..._T?dimensionAtObservation=AllDimensions" TargetMode="External"/><Relationship Id="rId108" Type="http://schemas.openxmlformats.org/officeDocument/2006/relationships/hyperlink" Target="https://stats.pacificdata.org/vis?tm=decent%20work&amp;pg=0&amp;df%5bds%5d=ds%3ASPC2&amp;df%5bid%5d=DF_SDG_08&amp;df%5bag%5d=SPC&amp;df%5bvs%5d=3.0&amp;pd=%2C&amp;dq=A.SL_TLF_UEM.%5bTAG_GEO%5d._T._T._T..._T.._T&amp;ly%5bcl%5d=TIME_PERIOD" TargetMode="External"/><Relationship Id="rId129" Type="http://schemas.openxmlformats.org/officeDocument/2006/relationships/hyperlink" Target="https://stats.pacificdata.org/vis?tm=food%20imports&amp;pg=0&amp;df%5bds%5d=ds%3ASPC2&amp;df%5bid%5d=DF_WBWDI&amp;df%5bag%5d=SPC&amp;df%5bvs%5d=1.0&amp;pd=%2C&amp;dq=A.%5bTAG_GEO%5d.TM_VAL_FOOD_ZS_UN&amp;ly%5bcl%5d=TIME_PERIOD" TargetMode="External"/><Relationship Id="rId54" Type="http://schemas.openxmlformats.org/officeDocument/2006/relationships/hyperlink" Target="https://stats-nsi-stable.pacificdata.org/rest/data/SPC,DF_SDG_11,3.0/A.VC_DSR_MISS.%5bTAG_GEO%5d..._T.....?dimensionAtObservation=AllDimensions" TargetMode="External"/><Relationship Id="rId75" Type="http://schemas.openxmlformats.org/officeDocument/2006/relationships/hyperlink" Target="https://stats-nsi-stable.pacificdata.org/rest/data/SPC,DF_SDG_05,3.0/A.SG_GEN_PARL.%5bTAG_GEO%5d.F._T._T..._T._Z.?dimensionAtObservation=AllDimensions" TargetMode="External"/><Relationship Id="rId96" Type="http://schemas.openxmlformats.org/officeDocument/2006/relationships/hyperlink" Target="https://stats.pacificdata.org/vis?lc=en&amp;tm=sdg%20health&amp;pg=0&amp;df%5bds%5d=ds%3ASPC2&amp;df%5bid%5d=DF_SDG_03&amp;df%5bag%5d=SPC&amp;df%5bvs%5d=3.0&amp;pd=%2C&amp;dq=A.SH_STA_BRTC.%5bTAG_GEO%5d._T._T._T..._T._Z.&amp;ly%5bcl%5d=TIME_PERIOD" TargetMode="External"/><Relationship Id="rId140" Type="http://schemas.openxmlformats.org/officeDocument/2006/relationships/hyperlink" Target="https://stats.pacificdata.org/vis?tm=sdg%2016&amp;pg=0&amp;hc%5bdataflowId%5d=DF_SDG_16&amp;df%5bds%5d=ds%3ASPC2&amp;df%5bid%5d=DF_SDG_16&amp;df%5bag%5d=SPC&amp;df%5bvs%5d=3.0&amp;pd=%2C&amp;dq=A.SPC_16_7_2.%5bTAG_GEO%5d._T._T._T._T..._Z." TargetMode="External"/><Relationship Id="rId161" Type="http://schemas.openxmlformats.org/officeDocument/2006/relationships/hyperlink" Target="https://stats.pacificdata.org/vis?fs%5b0%5d=Topic%2C0%7CSocial%23SOC%23&amp;pg=0&amp;fc=Topic&amp;df%5bds%5d=ds%3ASPC2&amp;df%5bid%5d=DF_EMPRATES&amp;df%5bag%5d=SPC&amp;df%5bvs%5d=1.0&amp;pd=%2C&amp;dq=A.%5bTAG_GEO%5d.LFPARTRATE.M._T._T._T" TargetMode="External"/><Relationship Id="rId182" Type="http://schemas.openxmlformats.org/officeDocument/2006/relationships/hyperlink" Target="https://stats-sdmx-disseminate.pacificdata.org/rest/data/SPC,DF_NMDI_EDU,1.0/A.%5bTAG_GEO%5d.NMDI0019._T._T._T..?dimensionAtObservation=AllDimensions" TargetMode="External"/><Relationship Id="rId217" Type="http://schemas.openxmlformats.org/officeDocument/2006/relationships/hyperlink" Target="https://stats.pacificdata.org/vis?dq=A.SH_MED_DEN.._T._T._T._T._T.2262._Z._T&amp;pd=%2C&amp;frequency=A&amp;lc=en&amp;pg=0&amp;df%5bds%5d=SPC2&amp;df%5bid%5d=DF_SDG_03&amp;df%5bag%5d=SPC&amp;df%5bvs%5d=3.0&amp;ly%5bcl%5d=TIME_PERIOD&amp;to%5bTIME_PERIOD%5d=false" TargetMode="External"/><Relationship Id="rId6" Type="http://schemas.openxmlformats.org/officeDocument/2006/relationships/hyperlink" Target="https://stats-nsi-stable.pacificdata.org/rest/data/SPC,DF_HHCOUNTS,1.0/A.%5bTAG_GEO%5d.HHSZ?dimensionAtObservation=AllDimensions" TargetMode="External"/><Relationship Id="rId23" Type="http://schemas.openxmlformats.org/officeDocument/2006/relationships/hyperlink" Target="https://stats-nsi-stable.pacificdata.org/rest/data/SPC,DF_VITAL,1.0/A.%5bTAG_GEO%5d.LEB.M?dimensionAtObservation=AllDimensions" TargetMode="External"/><Relationship Id="rId119" Type="http://schemas.openxmlformats.org/officeDocument/2006/relationships/hyperlink" Target="https://stats.pacificdata.org/vis?tm=sdg%2007&amp;pg=0&amp;hc%5bdataflowId%5d=DF_SDG_07&amp;df%5bds%5d=ds%3ASPC2&amp;df%5bid%5d=DF_SDG_07&amp;df%5bag%5d=SPC&amp;df%5bvs%5d=3.0&amp;pd=%2C&amp;dq=A.EG_ACS_ELEC.%5bTAG_GEO%5d..._T._T....&amp;ly%5bcl%5d=TIME_PERIOD" TargetMode="External"/><Relationship Id="rId44" Type="http://schemas.openxmlformats.org/officeDocument/2006/relationships/hyperlink" Target="https://stats-nsi-stable.pacificdata.org/rest/data/SPC,DF_SDG_17,3.0/A.SPC_17_3_1.%5bTAG_GEO%5d._T._T._T...._Z.?dimensionAtObservation=AllDimensions" TargetMode="External"/><Relationship Id="rId65" Type="http://schemas.openxmlformats.org/officeDocument/2006/relationships/hyperlink" Target="https://stats-nsi-stable.pacificdata.org/rest/data/SPC,DF_WBWGI,1.0/A.%5bTAG_GEO%5d.GE_EST?dimensionAtObservation=AllDimensions" TargetMode="External"/><Relationship Id="rId86" Type="http://schemas.openxmlformats.org/officeDocument/2006/relationships/hyperlink" Target="https://stats.pacificdata.org/vis?lc=en&amp;df%5bds%5d=ds%3ASPC2&amp;df%5bid%5d=DF_POP_COAST&amp;df%5bag%5d=SPC&amp;df%5bvs%5d=2.0&amp;dq=A.%5bTAG_GEO%5d.COASTALPOPRF.5KM&amp;pd=%2C&amp;ly%5brw%5d=TIME_PERIOD" TargetMode="External"/><Relationship Id="rId130" Type="http://schemas.openxmlformats.org/officeDocument/2006/relationships/hyperlink" Target="https://stats.pacificdata.org/vis?tm=sdg%2015&amp;pg=0&amp;hc%5bdataflowId%5d=DF_SDG_15&amp;df%5bds%5d=ds%3ASPC2&amp;df%5bid%5d=DF_SDG_15&amp;df%5bag%5d=SPC&amp;df%5bvs%5d=3.0&amp;pd=%2C&amp;dq=A.ER_PTD_TERR.%5bTAG_GEO%5d........&amp;ly%5bcl%5d=TIME_PERIOD" TargetMode="External"/><Relationship Id="rId151" Type="http://schemas.openxmlformats.org/officeDocument/2006/relationships/hyperlink" Target="https://stats.pacificdata.org/vis?tm=expectancy&amp;pg=0&amp;df%5bds%5d=ds%3ASPC2&amp;df%5bid%5d=DF_VITAL&amp;df%5bag%5d=SPC&amp;df%5bvs%5d=1.0&amp;pd=%2C&amp;dq=A.%5bTAG_GEO%5d.LEB.M&amp;ly%5bcl%5d=TIME_PERIOD" TargetMode="External"/><Relationship Id="rId172" Type="http://schemas.openxmlformats.org/officeDocument/2006/relationships/hyperlink" Target="https://stats.pacificdata.org/vis?tm=tobacco%20use%20prevalence&amp;pg=0&amp;snb=4&amp;df%5bds%5d=ds%3ASPC2&amp;df%5bid%5d=DF_SDG_03&amp;df%5bag%5d=SPC&amp;df%5bvs%5d=3.0&amp;pd=2015%2C2022&amp;dq=A.SH_PRV_SMOK.........&amp;ly%5brw%5d=GEO_PICT%2CSEX%2CAGE&amp;ly%5bcl%5d=TIME_PERIOD" TargetMode="External"/><Relationship Id="rId193" Type="http://schemas.openxmlformats.org/officeDocument/2006/relationships/hyperlink" Target="https://stats.pacificdata.org/vis?fs%5b0%5d=Development%20indicators%2C0%7CSustainable%20Development%20Goals%23SDG%23&amp;pg=10&amp;fc=Development%20indicators&amp;bp=true&amp;snb=18&amp;df%5bds%5d=ds%3ASPC2&amp;df%5bid%5d=DF_SDG_16&amp;df%5bag%5d=SPC&amp;df%5bvs%5d=3.0&amp;pd=%2C&amp;dq=A.SG_DMK_PARLYP_LC.........&amp;ly%5brw%5d=GEO_PICT&amp;ly%5bcl%5d=TIME_PERIOD&amp;ly%5brs%5d=INDICATOR&amp;to%5bTIME_PERIOD%5d=false" TargetMode="External"/><Relationship Id="rId207" Type="http://schemas.openxmlformats.org/officeDocument/2006/relationships/hyperlink" Target="https://stats.pacificdata.org/vis?tm=proficiency&amp;pg=0&amp;snb=4&amp;df%5bds%5d=ds%3ASPC2&amp;df%5bid%5d=DF_SDG_04&amp;df%5bag%5d=SPC&amp;df%5bvs%5d=3.0&amp;pd=%2C&amp;dq=A.SE_TOT_PRFL..M._T._T._T.1_g7%2B1_y6..SKILL_MIN_LTRCY.&amp;ly%5brw%5d=GEO_PICT%2CEDUCATION%2CCOMPOSITE_BREAKDOWN&amp;ly%5bcl%5d=TIME_PERIOD&amp;ly%5brs%5d=INDICATOR&amp;to%5bTIME_PERIOD%5d=false" TargetMode="External"/><Relationship Id="rId228"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HEA&amp;df%5bag%5d=SPC&amp;df%5bvs%5d=1.0&amp;pd=%2C&amp;dq=A..NMDI0145._T._T._T..&amp;ly%5brw%5d=GEO_PICT&amp;ly%5bcl%5d=TIME_PERIOD&amp;to%5bTIME_PERIOD%5d=false" TargetMode="External"/><Relationship Id="rId13" Type="http://schemas.openxmlformats.org/officeDocument/2006/relationships/hyperlink" Target="https://stats-nsi-stable.pacificdata.org/rest/data/SPC,DF_NMDI_HEA,1.0/A.%5bTAG_GEO%5d.NMDI0131._T._T._T..?dimensionAtObservation=AllDimensions" TargetMode="External"/><Relationship Id="rId109" Type="http://schemas.openxmlformats.org/officeDocument/2006/relationships/hyperlink" Target="https://stats.pacificdata.org/vis?tm=wb%20wdi&amp;pg=0&amp;df%5bds%5d=ds%3ASPC2&amp;df%5bid%5d=DF_WBWDI&amp;df%5bag%5d=SPC&amp;df%5bvs%5d=1.0&amp;pd=%2C&amp;dq=A.%5bTAG_GEO%5d.SI_POV_GINI&amp;ly%5bcl%5d=TIME_PERIOD" TargetMode="External"/><Relationship Id="rId34" Type="http://schemas.openxmlformats.org/officeDocument/2006/relationships/hyperlink" Target="https://stats-nsi-stable.pacificdata.org/rest/data/SPC,DF_SDG_08,3.0/A.SL_EMP_EARN.%5bTAG_GEO%5d._T._T._T..._T.._T?dimensionAtObservation=AllDimensions" TargetMode="External"/><Relationship Id="rId55" Type="http://schemas.openxmlformats.org/officeDocument/2006/relationships/hyperlink" Target="https://stats-nsi-stable.pacificdata.org/rest/data/SPC,DF_SDG_11,3.0/A.VC_DSR_AALT.%5bTAG_GEO%5d..._T.....?dimensionAtObservation=AllDimensions" TargetMode="External"/><Relationship Id="rId76" Type="http://schemas.openxmlformats.org/officeDocument/2006/relationships/hyperlink" Target="https://stats-nsi-stable.pacificdata.org/rest/data/SPC,DF_SDG_05,3.0/A.IC_GEN_MGTL.%5bTAG_GEO%5d._T._T._T..._T._Z.?dimensionAtObservation=AllDimensions" TargetMode="External"/><Relationship Id="rId97" Type="http://schemas.openxmlformats.org/officeDocument/2006/relationships/hyperlink" Target="https://stats.pacificdata.org/vis?lc=en&amp;tm=sdg%20health&amp;pg=0&amp;df%5bds%5d=ds%3ASPC2&amp;df%5bid%5d=DF_SDG_03&amp;df%5bag%5d=SPC&amp;df%5bvs%5d=3.0&amp;pd=%2C&amp;dq=A.SH_FPL_MTMM.%5bTAG_GEO%5d.F.Y15T49._T..._T._Z." TargetMode="External"/><Relationship Id="rId120" Type="http://schemas.openxmlformats.org/officeDocument/2006/relationships/hyperlink" Target="https://stats.pacificdata.org/vis?tm=sdg%2007&amp;pg=0&amp;hc%5bdataflowId%5d=DF_SDG_07&amp;df%5bds%5d=ds%3ASPC2&amp;df%5bid%5d=DF_SDG_07&amp;df%5bag%5d=SPC&amp;df%5bvs%5d=3.0&amp;pd=%2C&amp;dq=A.EG_EGY_CLEAN.%5bTAG_GEO%5d..._T._T...." TargetMode="External"/><Relationship Id="rId141" Type="http://schemas.openxmlformats.org/officeDocument/2006/relationships/hyperlink" Target="https://stats.pacificdata.org/vis?tm=teenage%20fertility&amp;pg=0&amp;df%5bds%5d=ds%3ASPC2&amp;df%5bid%5d=DF_VITAL&amp;df%5bag%5d=SPC&amp;df%5bvs%5d=1.0&amp;pd=%2C&amp;dq=A.%5bTAG_GEO%5d.TNFR._T&amp;ly%5bcl%5d=TIME_PERIOD" TargetMode="External"/><Relationship Id="rId7" Type="http://schemas.openxmlformats.org/officeDocument/2006/relationships/hyperlink" Target="https://stats-nsi-stable.pacificdata.org/rest/data/SPC,DF_POP_DENSITY,1.0/A.%5bTAG_GEO%5d.LANDAREA?dimensionAtObservation=AllDimensions" TargetMode="External"/><Relationship Id="rId162" Type="http://schemas.openxmlformats.org/officeDocument/2006/relationships/hyperlink" Target="https://stats-nsi-stable.pacificdata.org/rest/data/SPC,DF_EMPRATES,1.0/A.%5bTAG_GEO%5d.LFPARTRATE.M._T._T._T?dimensionAtObservation=AllDimensions" TargetMode="External"/><Relationship Id="rId183" Type="http://schemas.openxmlformats.org/officeDocument/2006/relationships/hyperlink" Target="https://stats-sdmx-disseminate.pacificdata.org/rest/data/SPC,DF_SDG_17,3.0/A.SG_PLN_RECNDI.%5bTAG_GEO%5d._T._T._T...._Z.?dimensionAtObservation=AllDimensions" TargetMode="External"/><Relationship Id="rId218" Type="http://schemas.openxmlformats.org/officeDocument/2006/relationships/hyperlink" Target="https://stats.pacificdata.org/vis?fs%5b0%5d=Development%20indicators%2C0%7CSustainable%20Development%20Goals%23SDG%23&amp;pg=10&amp;fc=Development%20indicators&amp;bp=true&amp;snb=18&amp;df%5bds%5d=ds%3ASPC2&amp;df%5bid%5d=DF_SDG_16&amp;df%5bag%5d=SPC&amp;df%5bvs%5d=3.0&amp;pd=%2C&amp;dq=A.VC_PRS_UNSNT..._T.._T..._Z.&amp;ly%5brw%5d=GEO_PICT&amp;ly%5bcl%5d=TIME_PERIOD&amp;ly%5brs%5d=INDICATOR&amp;to%5bTIME_PERIOD%5d=false" TargetMode="External"/><Relationship Id="rId24" Type="http://schemas.openxmlformats.org/officeDocument/2006/relationships/hyperlink" Target="https://stats-nsi-stable.pacificdata.org/rest/data/SPC,DF_VITAL,1.0/A.%5bTAG_GEO%5d.LEB.F?dimensionAtObservation=AllDimensions" TargetMode="External"/><Relationship Id="rId45" Type="http://schemas.openxmlformats.org/officeDocument/2006/relationships/hyperlink" Target="https://stats-nsi-stable.pacificdata.org/rest/data/SPC,DF_NMDI_FIS,1.0/A.%5bTAG_GEO%5d.NMDI0057._T._T._T..?dimensionAtObservation=AllDimensions" TargetMode="External"/><Relationship Id="rId66" Type="http://schemas.openxmlformats.org/officeDocument/2006/relationships/hyperlink" Target="https://stats-nsi-stable.pacificdata.org/rest/data/SPC,DF_WBWGI,1.0/A.%5bTAG_GEO%5d.CC_EST?dimensionAtObservation=AllDimensions" TargetMode="External"/><Relationship Id="rId87" Type="http://schemas.openxmlformats.org/officeDocument/2006/relationships/hyperlink" Target="https://stats.pacificdata.org/vis?lc=en&amp;df%5bds%5d=ds%3ASPC2&amp;df%5bid%5d=DF_POP_DENSITY&amp;df%5bag%5d=SPC&amp;df%5bvs%5d=1.0&amp;dq=A.%5bTAG_GEO%5d.LANDAREA&amp;pd=%2C&amp;ly%5brw%5d=TIME_PERIOD" TargetMode="External"/><Relationship Id="rId110" Type="http://schemas.openxmlformats.org/officeDocument/2006/relationships/hyperlink" Target="https://stats.pacificdata.org/vis?tm=decent%20work&amp;pg=0&amp;df%5bds%5d=ds%3ASPC2&amp;df%5bid%5d=DF_SDG_08&amp;df%5bag%5d=SPC&amp;df%5bvs%5d=3.0&amp;pd=%2C&amp;dq=A.SL_TLF_NEET.%5bTAG_GEO%5d._T._T._T..._T.._T&amp;lycl=TIME_PERIOD" TargetMode="External"/><Relationship Id="rId131" Type="http://schemas.openxmlformats.org/officeDocument/2006/relationships/hyperlink" Target="https://stats.pacificdata.org/vis?tm=EEZ&amp;pg=0&amp;df%5bds%5d=ds%3ASPC2&amp;df%5bid%5d=DF_KEYFACTS&amp;df%5bag%5d=SPC&amp;df%5bvs%5d=1.0&amp;pd=%2C&amp;dq=A.%5bTAG_GEO%5d.EEZ" TargetMode="External"/><Relationship Id="rId152" Type="http://schemas.openxmlformats.org/officeDocument/2006/relationships/hyperlink" Target="https://stats.pacificdata.org/vis?lc=en&amp;df%5bds%5d=ds%3ASPC2&amp;df%5bid%5d=DF_POP_COAST&amp;df%5bag%5d=SPC&amp;df%5bvs%5d=2.0&amp;dq=A.%5bTAG_GEO%5d.COASTALPOPRF.10KM&amp;pd=%2C&amp;ly%5brw%5d=TIME_PERIOD" TargetMode="External"/><Relationship Id="rId173" Type="http://schemas.openxmlformats.org/officeDocument/2006/relationships/hyperlink" Target="https://stats-sdmx-disseminate.pacificdata.org/rest/data/SPC,DF_SDG_03,3.0/A.SH_PRV_SMOK.%5bTAG_GEO%5d._T._T._T..._T._Z.?dimensionAtObservation=AllDimensions" TargetMode="External"/><Relationship Id="rId194" Type="http://schemas.openxmlformats.org/officeDocument/2006/relationships/hyperlink" Target="https://stats.pacificdata.org/vis?fs%5b0%5d=Development%20indicators%2C0%7CSustainable%20Development%20Goals%23SDG%23&amp;pg=10&amp;fc=Development%20indicators&amp;bp=true&amp;snb=18&amp;df%5bds%5d=ds%3ASPC2&amp;df%5bid%5d=DF_SDG_16&amp;df%5bag%5d=SPC&amp;df%5bvs%5d=3.0&amp;pd=%2C&amp;dq=A.SG_DMK_PARLYP_UC.........&amp;ly%5brw%5d=GEO_PICT&amp;ly%5bcl%5d=TIME_PERIOD&amp;ly%5brs%5d=INDICATOR&amp;to%5bTIME_PERIOD%5d=false" TargetMode="External"/><Relationship Id="rId208" Type="http://schemas.openxmlformats.org/officeDocument/2006/relationships/hyperlink" Target="https://stats-sdmx-disseminate.pacificdata.org/rest/data/SPC,DF_SDG_04,3.0/A.SE_TOT_PRFL..M._T._T._T.1_g7+1_y6..SKILL_MIN_LTRCY.?dimensionAtObservation=AllDimensions" TargetMode="External"/><Relationship Id="rId229" Type="http://schemas.openxmlformats.org/officeDocument/2006/relationships/hyperlink" Target="https://stats-sdmx-disseminate.pacificdata.org/rest/data/SPC,DF_NMDI_HEA,1.0/A..NMDI0145._T._T._T..?dimensionAtObservation=AllDimensions" TargetMode="External"/><Relationship Id="rId14" Type="http://schemas.openxmlformats.org/officeDocument/2006/relationships/hyperlink" Target="https://stats-nsi-stable.pacificdata.org/rest/data/SPC,DF_NMDI_EDU,1.0/A.%5bTAG_GEO%5d.NMDI0429._T._T._T..?dimensionAtObservation=AllDimensions" TargetMode="External"/><Relationship Id="rId35" Type="http://schemas.openxmlformats.org/officeDocument/2006/relationships/hyperlink" Target="https://stats-nsi-stable.pacificdata.org/rest/data/SPC,DF_SDG_08,3.0/A.SL_TLF_UEM.%5bTAG_GEO%5d._T._T._T..._T.._T?dimensionAtObservation=AllDimensions" TargetMode="External"/><Relationship Id="rId56" Type="http://schemas.openxmlformats.org/officeDocument/2006/relationships/hyperlink" Target="https://stats-nsi-stable.pacificdata.org/rest/data/SPC,DF_POP_URBAN,1.0/A.%5bTAG_GEO%5d.POPRFCOU.R?dimensionAtObservation=AllDimensions" TargetMode="External"/><Relationship Id="rId77" Type="http://schemas.openxmlformats.org/officeDocument/2006/relationships/hyperlink" Target="https://stats-nsi-stable.pacificdata.org/rest/data/SPC,DF_SDG_10,3.0/A.DC_TRF_TOTL.%5bTAG_GEO%5d......._Z.?dimensionAtObservation=AllDimensions" TargetMode="External"/><Relationship Id="rId100" Type="http://schemas.openxmlformats.org/officeDocument/2006/relationships/hyperlink" Target="https://stats.pacificdata.org/vis?tm=education&amp;pg=0&amp;df%5bds%5d=ds%3ASPC2&amp;df%5bid%5d=DF_NMDI_EDU&amp;df%5bag%5d=SPC&amp;df%5bvs%5d=1.0&amp;pd=%2C&amp;dq=A.%5bTAG_GEO%5d.NMDI0020._T._T._T.." TargetMode="External"/><Relationship Id="rId8" Type="http://schemas.openxmlformats.org/officeDocument/2006/relationships/hyperlink" Target="https://stats-nsi-stable.pacificdata.org/rest/data/SPC,DF_WBWDI,1.0/A.%5bTAG_GEO%5d.AG_LND_FRST_ZS?dimensionAtObservation=AllDimensions" TargetMode="External"/><Relationship Id="rId98" Type="http://schemas.openxmlformats.org/officeDocument/2006/relationships/hyperlink" Target="https://stats.pacificdata.org/vis?tm=expectancy&amp;pg=0&amp;df%5bds%5d=ds%3ASPC2&amp;df%5bid%5d=DF_VITAL&amp;df%5bag%5d=SPC&amp;df%5bvs%5d=1.0&amp;pd=%2C&amp;dq=A.%5bTAG_GEO%5d.LEB.F&amp;ly%5bcl%5d=TIME_PERIOD" TargetMode="External"/><Relationship Id="rId121" Type="http://schemas.openxmlformats.org/officeDocument/2006/relationships/hyperlink" Target="https://stats.pacificdata.org/vis?tm=sdg%2007&amp;pg=0&amp;hc%5bdataflowId%5d=DF_SDG_07&amp;df%5bds%5d=ds%3ASPC2&amp;df%5bid%5d=DF_SDG_07&amp;df%5bag%5d=SPC&amp;df%5bvs%5d=3.0&amp;pd=%2C&amp;dq=A.EG_EGY_PRIM.%5bTAG_GEO%5d..._T._T....&amp;ly%5bcl%5d=TIME_PERIOD" TargetMode="External"/><Relationship Id="rId142" Type="http://schemas.openxmlformats.org/officeDocument/2006/relationships/hyperlink" Target="https://stats.pacificdata.org/vis?tm=gender&amp;pg=0&amp;df%5bds%5d=ds%3ASPC2&amp;df%5bid%5d=DF_SDG_05&amp;df%5bag%5d=SPC&amp;df%5bvs%5d=3.0&amp;pd=%2C&amp;dq=A.SPC_5_2_2.%5bTAG_GEO%5d.F.Y15T999._T..._T._Z." TargetMode="External"/><Relationship Id="rId163" Type="http://schemas.openxmlformats.org/officeDocument/2006/relationships/hyperlink" Target="https://stats.pacificdata.org/vis?fs%5b0%5d=Topic%2C0%7CSocial%23SOC%23&amp;pg=0&amp;fc=Topic&amp;df%5bds%5d=ds%3ASPC2&amp;df%5bid%5d=DF_EMPRATES&amp;df%5bag%5d=SPC&amp;df%5bvs%5d=1.0&amp;pd=%2C&amp;dq=A.%5bTAG_GEO%5d.LFPARTRATE.F._T._T._T" TargetMode="External"/><Relationship Id="rId184" Type="http://schemas.openxmlformats.org/officeDocument/2006/relationships/hyperlink" Target="https://stats-sdmx-disseminate.pacificdata.org/rest/data/SPC,DF_SDG_15,3.0/A.ER_RSK_LST.%5bTAG_GEO%5d........?dimensionAtObservation=AllDimensions" TargetMode="External"/><Relationship Id="rId219" Type="http://schemas.openxmlformats.org/officeDocument/2006/relationships/hyperlink" Target="https://stats-sdmx-disseminate.pacificdata.org/rest/data/SPC,DF_SDG_16,3.0/A.VC_PRS_UNSNT..._T.._T..._Z.?dimensionAtObservation=AllDimensions" TargetMode="External"/><Relationship Id="rId230"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HEA&amp;df%5bag%5d=SPC&amp;df%5bvs%5d=1.0&amp;pd=%2C&amp;dq=A..NMDI0146._T._T._T..&amp;ly%5brw%5d=GEO_PICT&amp;ly%5bcl%5d=TIME_PERIOD&amp;to%5bTIME_PERIOD%5d=false" TargetMode="External"/><Relationship Id="rId25" Type="http://schemas.openxmlformats.org/officeDocument/2006/relationships/hyperlink" Target="https://stats-nsi-stable.pacificdata.org/rest/data/SPC,DF_SDG_02,3.0/A.SH_STA_STNT.%5bTAG_GEO%5d._T.Y00T04......?dimensionAtObservation=AllDimensions" TargetMode="External"/><Relationship Id="rId46" Type="http://schemas.openxmlformats.org/officeDocument/2006/relationships/hyperlink" Target="https://stats-nsi-stable.pacificdata.org/rest/data/SPC,DF_NMDI_FIS,1.0/A.%5bTAG_GEO%5d.NMDI0059._T._T._T..?dimensionAtObservation=AllDimensions" TargetMode="External"/><Relationship Id="rId67" Type="http://schemas.openxmlformats.org/officeDocument/2006/relationships/hyperlink" Target="https://stats-nsi-stable.pacificdata.org/rest/data/SPC,DF_WBWGI,1.0/A.%5bTAG_GEO%5d.RQ_EST?dimensionAtObservation=AllDimensions" TargetMode="External"/><Relationship Id="rId20" Type="http://schemas.openxmlformats.org/officeDocument/2006/relationships/hyperlink" Target="https://stats-nsi-stable.pacificdata.org/rest/data/SPC,DF_SDG_03,3.0/A.SH_STA_BRTC.%5bTAG_GEO%5d._T._T._T..._T._Z.?dimensionAtObservation=AllDimensions" TargetMode="External"/><Relationship Id="rId41" Type="http://schemas.openxmlformats.org/officeDocument/2006/relationships/hyperlink" Target="https://stats-nsi-stable.pacificdata.org/rest/data/SPC,DF_OVERSEAS_VISITORS,2.0/A.%5bTAG_GEO%5d._T.NOSVA?dimensionAtObservation=AllDimensions" TargetMode="External"/><Relationship Id="rId62" Type="http://schemas.openxmlformats.org/officeDocument/2006/relationships/hyperlink" Target="https://stats-nsi-stable.pacificdata.org/rest/data/SPC,DF_SDG_14,3.0/A.ER_H2O_FWTL.%5bTAG_GEO%5d......._Z.?dimensionAtObservation=AllDimensions" TargetMode="External"/><Relationship Id="rId83" Type="http://schemas.openxmlformats.org/officeDocument/2006/relationships/hyperlink" Target="https://stats.pacificdata.org/vis?lc=en&amp;df%5bds%5d=ds%3ASPC2&amp;df%5bid%5d=DF_POP_DENSITY&amp;df%5bag%5d=SPC&amp;df%5bvs%5d=1.0&amp;dq=A.%5bTAG_GEO%5d.POPDENSITY&amp;pd=%2C&amp;ly%5brw%5d=TIME_PERIOD" TargetMode="External"/><Relationship Id="rId88" Type="http://schemas.openxmlformats.org/officeDocument/2006/relationships/hyperlink" Target="https://stats.pacificdata.org/vis?lc=en&amp;df%5bds%5d=ds%3ASPC2&amp;df%5bid%5d=DF_WBWDI&amp;df%5bag%5d=SPC&amp;df%5bvs%5d=1.0&amp;dq=A.%5bTAG_GEO%5d.AG_LND_FRST_ZS&amp;pd=%2C&amp;ly%5brw%5d=TIME_PERIOD" TargetMode="External"/><Relationship Id="rId111" Type="http://schemas.openxmlformats.org/officeDocument/2006/relationships/hyperlink" Target="https://stats.pacificdata.org/vis?tm=tourism&amp;pg=0&amp;df%5bds%5d=ds%3ASPC2&amp;df%5bid%5d=DF_TOURISM_EARNINGS&amp;df%5bag%5d=SPC&amp;df%5bvs%5d=1.0&amp;pd=%2C&amp;dq=A.%5bTAG_GEO%5d.EARN2GDP.USD&amp;ly%5bcl%5d=TIME_PERIOD" TargetMode="External"/><Relationship Id="rId132" Type="http://schemas.openxmlformats.org/officeDocument/2006/relationships/hyperlink" Target="https://stats.pacificdata.org/vis?tm=sdg%20water&amp;pg=0&amp;df%5bds%5d=ds%3ASPC2&amp;df%5bid%5d=DF_SDG_14&amp;df%5bag%5d=SPC&amp;df%5bvs%5d=3.0&amp;pd=%2C&amp;dq=A.ER_MRN_MARIN.%5bTAG_GEO%5d......._Z.&amp;ly%5bcl%5d=TIME_PERIOD" TargetMode="External"/><Relationship Id="rId153" Type="http://schemas.openxmlformats.org/officeDocument/2006/relationships/hyperlink" Target="https://stats.pacificdata.org/vis?tm=education&amp;pg=0&amp;df%5bds%5d=ds%3ASPC2&amp;df%5bid%5d=DF_SDG_04&amp;df%5bag%5d=SPC&amp;df%5bvs%5d=3.0&amp;pd=%2C&amp;dq=A.SE_ADT_EDUCTRN.%5bTAG_GEO%5d._T._T._T._T._T._T._Z." TargetMode="External"/><Relationship Id="rId174" Type="http://schemas.openxmlformats.org/officeDocument/2006/relationships/hyperlink" Target="https://stats.pacificdata.org/vis?tm=contraceptive&amp;pg=0&amp;snb=6&amp;df%5bds%5d=ds%3ASPC2&amp;df%5bid%5d=DF_NMDI_HEA&amp;df%5bag%5d=SPC&amp;df%5bvs%5d=1.0&amp;pd=%2C&amp;dq=A..NMDI0116._T._T._T..&amp;ly%5brw%5d=GEO_PICT&amp;ly%5bcl%5d=TIME_PERIOD" TargetMode="External"/><Relationship Id="rId179" Type="http://schemas.openxmlformats.org/officeDocument/2006/relationships/hyperlink" Target="https://stats-sdmx-disseminate.pacificdata.org/rest/data/SPC,DF_SDG_03,3.0/A.SP_DYN_ADKL.%5bTAG_GEO%5d.F.Y15T19._T.....?dimensionAtObservation=AllDimensions" TargetMode="External"/><Relationship Id="rId195" Type="http://schemas.openxmlformats.org/officeDocument/2006/relationships/hyperlink" Target="https://stats.pacificdata.org/vis?tm=transition%20rate&amp;pg=0&amp;snb=2&amp;df%5bds%5d=ds%3ASPC2&amp;df%5bid%5d=DF_NMDI_EDU&amp;df%5bag%5d=SPC&amp;df%5bvs%5d=1.0&amp;pd=%2C&amp;dq=A..NMDI0431._T._T._T..&amp;ly%5brw%5d=GEO_PICT&amp;ly%5bcl%5d=TIME_PERIOD&amp;to%5bTIME_PERIOD%5d=false" TargetMode="External"/><Relationship Id="rId209" Type="http://schemas.openxmlformats.org/officeDocument/2006/relationships/hyperlink" Target="https://stats.pacificdata.org/vis?tm=proficiency&amp;pg=0&amp;snb=4&amp;df%5bds%5d=ds%3ASPC2&amp;df%5bid%5d=DF_SDG_04&amp;df%5bag%5d=SPC&amp;df%5bvs%5d=3.0&amp;pd=%2C&amp;dq=A.SE_TOT_PRFL.._T._T._T._T.1_g7%2B1_y6..SKILL_MIN_NMRCY.&amp;ly%5brw%5d=GEO_PICT%2CEDUCATION%2CCOMPOSITE_BREAKDOWN&amp;ly%5bcl%5d=TIME_PERIOD&amp;ly%5brs%5d=INDICATOR&amp;to%5bTIME_PERIOD%5d=false" TargetMode="External"/><Relationship Id="rId190" Type="http://schemas.openxmlformats.org/officeDocument/2006/relationships/hyperlink" Target="https://stats-sdmx-disseminate.pacificdata.org/rest/data/SPC,DF_PAM,1.0/A.VU+TV+TO+SB+WS+PG+PW+NU+NR+FM+MH+KI+FJ+CK.TRVAL._T.COM._T?dimensionAtObservation=AllDimensions" TargetMode="External"/><Relationship Id="rId204" Type="http://schemas.openxmlformats.org/officeDocument/2006/relationships/hyperlink" Target="https://stats-sdmx-disseminate.pacificdata.org/rest/data/SPC,DF_SDG_04,3.0/A.SE_TOT_PRFL.._T._T._T._T.1_g7+1_y6..SKILL_MIN_LTRCY.?dimensionAtObservation=AllDimensions" TargetMode="External"/><Relationship Id="rId220" Type="http://schemas.openxmlformats.org/officeDocument/2006/relationships/hyperlink" Target="https://stats.pacificdata.org/vis?fs%5b0%5d=Development%20indicators%2C0%7CSustainable%20Development%20Goals%23SDG%23&amp;pg=10&amp;fc=Development%20indicators&amp;bp=true&amp;snb=18&amp;df%5bds%5d=ds%3ASPC2&amp;df%5bid%5d=DF_SDG_16&amp;df%5bag%5d=SPC&amp;df%5bvs%5d=3.0&amp;pd=%2C&amp;dq=A.VC_IHR_PSRC.._T.._T._T..._Z.&amp;ly%5brw%5d=GEO_PICT&amp;ly%5bcl%5d=TIME_PERIOD&amp;ly%5brs%5d=INDICATOR&amp;to%5bTIME_PERIOD%5d=false" TargetMode="External"/><Relationship Id="rId225" Type="http://schemas.openxmlformats.org/officeDocument/2006/relationships/hyperlink" Target="https://stats-sdmx-disseminate.pacificdata.org/rest/data/SPC,DF_NMDI_EDU,1.0/A..NMDI0019._T._T.U._T.?dimensionAtObservation=AllDimensions" TargetMode="External"/><Relationship Id="rId15" Type="http://schemas.openxmlformats.org/officeDocument/2006/relationships/hyperlink" Target="https://stats-nsi-stable.pacificdata.org/rest/data/SPC,DF_POP_DENSITY,1.0/A.%5bTAG_GEO%5d.LANDAREA?dimensionAtObservation=AllDimensions" TargetMode="External"/><Relationship Id="rId36" Type="http://schemas.openxmlformats.org/officeDocument/2006/relationships/hyperlink" Target="https://stats-nsi-stable.pacificdata.org/rest/data/SPC,DF_WBWDI,1.0/A.%5bTAG_GEO%5d.SI_POV_GINI?dimensionAtObservation=AllDimensions" TargetMode="External"/><Relationship Id="rId57" Type="http://schemas.openxmlformats.org/officeDocument/2006/relationships/hyperlink" Target="https://stats-nsi-stable.pacificdata.org/rest/data/SPC,DF_WBWDI,1.0/A.%5bTAG_GEO%5d.TM_VAL_FOOD_ZS_UN?dimensionAtObservation=AllDimensions" TargetMode="External"/><Relationship Id="rId106" Type="http://schemas.openxmlformats.org/officeDocument/2006/relationships/hyperlink" Target="https://stats.pacificdata.org/vis?tm=poverty&amp;pg=0&amp;df%5bds%5d=ds%3ASPC2&amp;df%5bid%5d=DF_SDG_01&amp;df%5bag%5d=SPC&amp;df%5bvs%5d=3.0&amp;pd=%2C&amp;dq=A.SI_POV_NAHC.%5bTAG_GEO%5d._T._T._T._T._T..._T" TargetMode="External"/><Relationship Id="rId127" Type="http://schemas.openxmlformats.org/officeDocument/2006/relationships/hyperlink" Target="https://stats.pacificdata.org/vis?tm=SDG%2011&amp;pg=0&amp;df%5bds%5d=ds%3ASPC2&amp;df%5bid%5d=DF_SDG_11&amp;df%5bag%5d=SPC&amp;df%5bvs%5d=3.0&amp;pd=%2C&amp;dq=A.VC_DSR_AALT.%5bTAG_GEO%5d..._T.....&amp;hc%5bdataflowId%5d=DF_SDG_11" TargetMode="External"/><Relationship Id="rId10" Type="http://schemas.openxmlformats.org/officeDocument/2006/relationships/hyperlink" Target="https://stats-nsi-stable.pacificdata.org/rest/data/SPC,DF_SDG_03,3.0/A.SH_STA_MORT.%5bTAG_GEO%5d.F._T._T..._T._Z.?dimensionAtObservation=AllDimensions" TargetMode="External"/><Relationship Id="rId31" Type="http://schemas.openxmlformats.org/officeDocument/2006/relationships/hyperlink" Target="https://stats-nsi-stable.pacificdata.org/rest/data/SPC,DF_WBWDI,1.0/A.%5bTAG_GEO%5d.NV_IND_TOTL_ZS?dimensionAtObservation=AllDimensions" TargetMode="External"/><Relationship Id="rId52" Type="http://schemas.openxmlformats.org/officeDocument/2006/relationships/hyperlink" Target="https://stats-nsi-stable.pacificdata.org/rest/data/SPC,DF_NMDI,1.0/A.%5bTAG_GEO%5d.NMDI0133._T._T._T..?dimensionAtObservation=AllDimensions" TargetMode="External"/><Relationship Id="rId73" Type="http://schemas.openxmlformats.org/officeDocument/2006/relationships/hyperlink" Target="https://stats-nsi-stable.pacificdata.org/rest/data/SPC,DF_WBWDI,1.0/A.%5bTAG_GEO%5d.SL_TLF_CACT_FM_ZS?dimensionAtObservation=AllDimensions" TargetMode="External"/><Relationship Id="rId78" Type="http://schemas.openxmlformats.org/officeDocument/2006/relationships/hyperlink" Target="https://stats.pacificdata.org/vis?lc=en&amp;df%5bds%5d=ds%3ASPC2&amp;df%5bid%5d=DF_POP_PROJ&amp;df%5bag%5d=SPC&amp;df%5bvs%5d=3.0&amp;dq=A.%5bTAG_GEO%5d.MIDYEARPOPEST._T._T&amp;pd=%2C&amp;ly%5brw%5d=TIME_PERIOD" TargetMode="External"/><Relationship Id="rId94" Type="http://schemas.openxmlformats.org/officeDocument/2006/relationships/hyperlink" Target="https://stats.pacificdata.org/vis?lc=en&amp;df%5bds%5d=ds%3ASPC2&amp;df%5bid%5d=DF_NMDI_EDU&amp;df%5bag%5d=SPC&amp;df%5bvs%5d=1.0&amp;dq=A.%5bTAG_GEO%5d.NMDI0429._T._T._T..&amp;pd=%2C&amp;tm=education&amp;pg=0&amp;ly%5bcl%5d=TIME_PERIOD" TargetMode="External"/><Relationship Id="rId99" Type="http://schemas.openxmlformats.org/officeDocument/2006/relationships/hyperlink" Target="https://stats.pacificdata.org/vis?tm=hunger&amp;pg=0&amp;df%5bds%5d=ds%3ASPC2&amp;df%5bid%5d=DF_SDG_02&amp;df%5bag%5d=SPC&amp;df%5bvs%5d=3.0&amp;pd=%2C&amp;dq=A.SH_STA_STNT.%5bTAG_GEO%5d._T.Y00T04......&amp;ly%5bcl%5d=TIME_PERIOD" TargetMode="External"/><Relationship Id="rId101" Type="http://schemas.openxmlformats.org/officeDocument/2006/relationships/hyperlink" Target="https://stats.pacificdata.org/vis?tm=education&amp;pg=0&amp;df%5bds%5d=ds%3ASPC2&amp;df%5bid%5d=DF_SDG_04&amp;df%5bag%5d=SPC&amp;df%5bvs%5d=3.0&amp;pd=%2C&amp;dq=A.SE_TOT_GPI.%5bTAG_GEO%5d._T._T._T._T._T._T._Z." TargetMode="External"/><Relationship Id="rId122" Type="http://schemas.openxmlformats.org/officeDocument/2006/relationships/hyperlink" Target="https://stats.pacificdata.org/vis?tm=renewable&amp;pg=0&amp;df%5bds%5d=ds%3ASPC2&amp;df%5bid%5d=DF_WBWDI&amp;df%5bag%5d=SPC&amp;df%5bvs%5d=1.0&amp;pd=%2C&amp;dq=A.%5bTAG_GEO%5d.EG_ELC_RNEW_ZS&amp;ly%5bcl%5d=TIME_PERIOD" TargetMode="External"/><Relationship Id="rId143" Type="http://schemas.openxmlformats.org/officeDocument/2006/relationships/hyperlink" Target="https://stats.pacificdata.org/vis?dq=A.%5bTAG_GEO%5d.SL_TLF_CACT_FM_ZS&amp;pd=%2C&amp;frequency=A&amp;lc=en&amp;pg=0&amp;df%5bds%5d=ds%3ASPC2&amp;df%5bid%5d=DF_WBWDI&amp;df%5bag%5d=SPC&amp;df%5bvs%5d=1.0&amp;ly%5bcl%5d=TIME_PERIOD&amp;tm=wb%20" TargetMode="External"/><Relationship Id="rId148" Type="http://schemas.openxmlformats.org/officeDocument/2006/relationships/hyperlink" Target="https://stats.pacificdata.org/vis?tm=sdg%2017&amp;pg=0&amp;hc%5bdataflowId%5d=DF_SDG_17&amp;df%5bds%5d=ds%3ASPC2&amp;df%5bid%5d=DF_SDG_17&amp;df%5bag%5d=SPC&amp;df%5bvs%5d=3.0&amp;pd=%2C&amp;dq=A.SG_PLN_RECNDI.%5bTAG_GEO%5d._T._T._T...._Z.&amp;ly%5bcl%5d=TIME_PERIOD" TargetMode="External"/><Relationship Id="rId164" Type="http://schemas.openxmlformats.org/officeDocument/2006/relationships/hyperlink" Target="https://stats-nsi-stable.pacificdata.org/rest/data/SPC,DF_EMPRATES,1.0/A.%5bTAG_GEO%5d.LFPARTRATE.F._T._T._T?dimensionAtObservation=AllDimensions" TargetMode="External"/><Relationship Id="rId169" Type="http://schemas.openxmlformats.org/officeDocument/2006/relationships/hyperlink" Target="https://stats-nsi-stable.pacificdata.org/rest/data/SPC,DF_VITAL,1.0/A.%5bTAG_GEO%5d.TFR.?dimensionAtObservation=AllDimensions" TargetMode="External"/><Relationship Id="rId185" Type="http://schemas.openxmlformats.org/officeDocument/2006/relationships/hyperlink" Target="https://stats.pacificdata.org/vis?lc=en&amp;df%5bds%5d=SPC2&amp;df%5bid%5d=DF_TRADE_FOOD&amp;df%5bag%5d=SPC&amp;df%5bvs%5d=1.0&amp;pd=%2C&amp;dq=A.Q._T%2BAS%2BCK%2BFJ%2BFM%2BGU%2BKI%2BMH%2BMP%2BNC%2BNR%2BNU%2BPF%2BPG%2BPN%2BPW%2BSB%2BTK%2BTO%2BTV%2BVU%2BWF%2BWS._T.03&amp;ly%5bcl%5d=TIME_PERIOD&amp;to%5bTIME_PERIOD%5d=false" TargetMode="External"/><Relationship Id="rId4" Type="http://schemas.openxmlformats.org/officeDocument/2006/relationships/hyperlink" Target="https://stats-nsi-stable.pacificdata.org/rest/data/SPC,DF_POP_PROJ,3.0/A.%5bTAG_GEO%5d.POPYGR._T._T?dimensionAtObservation=AllDimensions" TargetMode="External"/><Relationship Id="rId9" Type="http://schemas.openxmlformats.org/officeDocument/2006/relationships/hyperlink" Target="https://stats-nsi-stable.pacificdata.org/rest/data/SPC,DF_WBWDI,1.0/A.%5bTAG_GEO%5d.AG_LND_AGRI_ZS?dimensionAtObservation=AllDimensions" TargetMode="External"/><Relationship Id="rId180" Type="http://schemas.openxmlformats.org/officeDocument/2006/relationships/hyperlink" Target="https://stats-sdmx-disseminate.pacificdata.org/rest/data/SPC,DF_NMDI_HEA,1.0/A.%5bTAG_GEO%5d.NMDI0116.._T._T..?dimensionAtObservation=AllDimensions" TargetMode="External"/><Relationship Id="rId210" Type="http://schemas.openxmlformats.org/officeDocument/2006/relationships/hyperlink" Target="https://stats-sdmx-disseminate.pacificdata.org/rest/data/SPC,DF_SDG_04,3.0/A.SE_TOT_PRFL.._T._T._T._T.1_g7+1_y6..SKILL_MIN_NMRCY.?dimensionAtObservation=AllDimensions" TargetMode="External"/><Relationship Id="rId215" Type="http://schemas.openxmlformats.org/officeDocument/2006/relationships/hyperlink" Target="https://stats.pacificdata.org/vis?dq=A.SH_MED_DEN.._T._T._T._T._T.221._Z._T&amp;pd=%2C&amp;frequency=A&amp;lc=en&amp;pg=0&amp;df%5bds%5d=SPC2&amp;df%5bid%5d=DF_SDG_03&amp;df%5bag%5d=SPC&amp;df%5bvs%5d=3.0&amp;ly%5bcl%5d=TIME_PERIOD&amp;to%5bTIME_PERIOD%5d=false" TargetMode="External"/><Relationship Id="rId26" Type="http://schemas.openxmlformats.org/officeDocument/2006/relationships/hyperlink" Target="https://stats-nsi-stable.pacificdata.org/rest/data/SPC,DF_NMDI_EDU,1.0/A.%5bTAG_GEO%5d.NMDI0020._T._T._T..?dimensionAtObservation=AllDimensions" TargetMode="External"/><Relationship Id="rId231" Type="http://schemas.openxmlformats.org/officeDocument/2006/relationships/hyperlink" Target="https://stats-sdmx-disseminate.pacificdata.org/rest/data/SPC,DF_NMDI_HEA,1.0/A..NMDI0146._T._T._T..?dimensionAtObservation=AllDimensions" TargetMode="External"/><Relationship Id="rId47" Type="http://schemas.openxmlformats.org/officeDocument/2006/relationships/hyperlink" Target="https://stats-nsi-stable.pacificdata.org/rest/data/SPC,DF_SDG_07,3.0/A.EG_ACS_ELEC.%5bTAG_GEO%5d..._T._T....?dimensionAtObservation=AllDimensions" TargetMode="External"/><Relationship Id="rId68" Type="http://schemas.openxmlformats.org/officeDocument/2006/relationships/hyperlink" Target="https://stats-nsi-stable.pacificdata.org/rest/data/SPC,DF_WBWGI,1.0/A.%5bTAG_GEO%5d.PV_EST?dimensionAtObservation=AllDimensions" TargetMode="External"/><Relationship Id="rId89" Type="http://schemas.openxmlformats.org/officeDocument/2006/relationships/hyperlink" Target="https://stats.pacificdata.org/vis?lc=en&amp;df%5bds%5d=ds%3ASPC2&amp;df%5bid%5d=DF_WBWDI&amp;df%5bag%5d=SPC&amp;df%5bvs%5d=1.0&amp;dq=A.%5bTAG_GEO%5d.AG_LND_AGRI_ZS&amp;pd=%2C&amp;ly%5brw%5d=TIME_PERIOD" TargetMode="External"/><Relationship Id="rId112" Type="http://schemas.openxmlformats.org/officeDocument/2006/relationships/hyperlink" Target="https://stats.pacificdata.org/vis?tm=tourism&amp;pg=0&amp;df%5bds%5d=ds%3ASPC2&amp;df%5bid%5d=DF_TOURISM_EARNINGS&amp;df%5bag%5d=SPC&amp;df%5bvs%5d=1.0&amp;pd=%2C&amp;dq=A.%5bTAG_GEO%5d.EARN2VIS.USD&amp;ly%5bcl%5d=TIME_PERIOD" TargetMode="External"/><Relationship Id="rId133" Type="http://schemas.openxmlformats.org/officeDocument/2006/relationships/hyperlink" Target="https://stats.pacificdata.org/vis?tm=sdg%20water&amp;pg=0&amp;df%5bds%5d=ds%3ASPC2&amp;df%5bid%5d=DF_SDG_14&amp;df%5bag%5d=SPC&amp;df%5bvs%5d=3.0&amp;pd=%2C&amp;dq=A.SPC_14_7_1.%5bTAG_GEO%5d......._Z.&amp;ly%5bcl%5d=TIME_PERIOD" TargetMode="External"/><Relationship Id="rId154" Type="http://schemas.openxmlformats.org/officeDocument/2006/relationships/hyperlink" Target="https://stats.pacificdata.org/vis?tm=government&amp;pg=0&amp;df%5bds%5d=ds%3ASPC2&amp;df%5bid%5d=DF_EGOV&amp;df%5bag%5d=SPC&amp;df%5bvs%5d=1.0&amp;pd=%2C&amp;dq=A.%5bTAG_GEO%5d.EGI&amp;ly%5bcl%5d=TIME_PERIOD" TargetMode="External"/><Relationship Id="rId175" Type="http://schemas.openxmlformats.org/officeDocument/2006/relationships/hyperlink" Target="https://stats.pacificdata.org/vis?tm=adol&amp;pg=0&amp;snb=5&amp;df%5bds%5d=ds%3ASPC2&amp;df%5bid%5d=DF_SDG_03&amp;df%5bag%5d=SPC&amp;df%5bvs%5d=3.0&amp;pd=%2C&amp;dq=A.SP_DYN_ADKL..F.Y15T19._T..._T._Z.&amp;ly%5brw%5d=GEO_PICT&amp;ly%5bcl%5d=TIME_PERIOD" TargetMode="External"/><Relationship Id="rId196" Type="http://schemas.openxmlformats.org/officeDocument/2006/relationships/hyperlink" Target="https://stats-sdmx-disseminate.pacificdata.org/rest/data/SPC,DF_NMDI_EDU,1.0/A..NMDI0431._T._T._T..?dimensionAtObservation=AllDimensions" TargetMode="External"/><Relationship Id="rId200" Type="http://schemas.openxmlformats.org/officeDocument/2006/relationships/hyperlink" Target="https://stats.pacificdata.org/vis?tm=literacy%20rate&amp;pg=0&amp;snb=5&amp;df%5bds%5d=ds%3ASPC2&amp;df%5bid%5d=DF_NMDI_EDU&amp;df%5bag%5d=SPC&amp;df%5bvs%5d=1.0&amp;pd=%2C&amp;dq=A..NMDI0019.F._T._T..&amp;ly%5brw%5d=GEO_PICT&amp;ly%5bcl%5d=TIME_PERIOD&amp;to%5bTIME_PERIOD%5d=false" TargetMode="External"/><Relationship Id="rId16" Type="http://schemas.openxmlformats.org/officeDocument/2006/relationships/hyperlink" Target="https://stats-nsi-stable.pacificdata.org/rest/data/SPC,DF_POP_COAST,2.0/A.%5bTAG_GEO%5d.COASTALPOPRF.5KM?dimensionAtObservation=AllDimensions" TargetMode="External"/><Relationship Id="rId221" Type="http://schemas.openxmlformats.org/officeDocument/2006/relationships/hyperlink" Target="https://stats-sdmx-disseminate.pacificdata.org/rest/data/SPC,DF_SDG_16,3.0/A.VC_IHR_PSRC.._T.._T._T..._Z.?dimensionAtObservation=AllDimensions" TargetMode="External"/><Relationship Id="rId37" Type="http://schemas.openxmlformats.org/officeDocument/2006/relationships/hyperlink" Target="https://stats-nsi-stable.pacificdata.org/rest/data/SPC,DF_SDG_08,3.0/A.SL_TLF_NEET.%5bTAG_GEO%5d._T.Y15T24._T..._T.._T?dimensionAtObservation=AllDimensions" TargetMode="External"/><Relationship Id="rId58" Type="http://schemas.openxmlformats.org/officeDocument/2006/relationships/hyperlink" Target="https://stats-nsi-stable.pacificdata.org/rest/data/SPC,DF_SDG_15,3.0/A.ER_PTD_TERR.%5bTAG_GEO%5d........?dimensionAtObservation=AllDimensions" TargetMode="External"/><Relationship Id="rId79" Type="http://schemas.openxmlformats.org/officeDocument/2006/relationships/hyperlink" Target="https://stats.pacificdata.org/vis?lc=en&amp;df%5bds%5d=ds%3ASPC2&amp;df%5bid%5d=DF_POP_URBAN&amp;df%5bag%5d=SPC&amp;df%5bvs%5d=1.0&amp;dq=A.%5bTAG_GEO%5d.POPRFCOU.U&amp;pd=%2C&amp;ly%5brw%5d=TIME_PERIOD" TargetMode="External"/><Relationship Id="rId102" Type="http://schemas.openxmlformats.org/officeDocument/2006/relationships/hyperlink" Target="https://stats.pacificdata.org/vis?tm=covid%2019&amp;pg=0&amp;df%5bds%5d=ds%3ASPC2&amp;df%5bid%5d=DF_SOCECO&amp;df%5bag%5d=SPC&amp;df%5bvs%5d=1.0&amp;pd=%2C&amp;dq=A.%5bTAG_GEO%5d.OFB2GDP&amp;ly%5bcl%5d=TIME_PERIOD" TargetMode="External"/><Relationship Id="rId123" Type="http://schemas.openxmlformats.org/officeDocument/2006/relationships/hyperlink" Target="https://stats.pacificdata.org/vis?tm=access%20sanitation&amp;pg=0&amp;df%5bds%5d=ds%3ASPC2&amp;df%5bid%5d=DF_NMDI&amp;df%5bag%5d=SPC&amp;df%5bvs%5d=1.0&amp;pd=%2C&amp;dq=A.%5bTAG_GEO%5d.NMDI0134._T._T._T.." TargetMode="External"/><Relationship Id="rId144" Type="http://schemas.openxmlformats.org/officeDocument/2006/relationships/hyperlink" Target="https://stats.pacificdata.org/vis?tm=gender&amp;pg=0&amp;df%5bds%5d=ds%3ASPC2&amp;df%5bid%5d=DF_SDG_05&amp;df%5bag%5d=SPC&amp;df%5bvs%5d=3.0&amp;pd=%2C&amp;dq=A.VC_VAW_MARR.%5bTAG_GEO%5d.F.Y15T999._T..._T._Z." TargetMode="External"/><Relationship Id="rId90" Type="http://schemas.openxmlformats.org/officeDocument/2006/relationships/hyperlink" Target="https://stats.pacificdata.org/vis?lc=en&amp;df%5bds%5d=SPC2&amp;df%5bid%5d=DF_SDG_03&amp;df%5bag%5d=SPC&amp;df%5bvs%5d=3.0&amp;dq=.SPC_3_8_1.%5bTAG_GEO%5d........&amp;pd=%2C&amp;ly%5bcl%5d=TIME_PERIOD" TargetMode="External"/><Relationship Id="rId165" Type="http://schemas.openxmlformats.org/officeDocument/2006/relationships/hyperlink" Target="https://stats.pacificdata.org/vis?tm=red%20list&amp;pg=0&amp;df%5bds%5d=ds%3ASPC2&amp;df%5bid%5d=DF_SDG_15&amp;df%5bag%5d=SPC&amp;df%5bvs%5d=3.0&amp;pd=%2C&amp;dq=A.ER_RSK_LST.%5bTAG_GEO%5d........&amp;ly%5bcl%5d=TIME_PERIOD" TargetMode="External"/><Relationship Id="rId186" Type="http://schemas.openxmlformats.org/officeDocument/2006/relationships/hyperlink" Target="https://stats-sdmx-disseminate.pacificdata.org/rest/data/SPC,DF_TRADE_FOOD,1.0/A.Q._T+AS+CK+FJ+FM+GU+KI+MH+MP+NC+NR+NU+PF+PG+PN+PW+SB+TK+TO+TV+VU+WF+WS._T.03?dimensionAtObservation=AllDimensions" TargetMode="External"/><Relationship Id="rId211" Type="http://schemas.openxmlformats.org/officeDocument/2006/relationships/hyperlink" Target="https://stats.pacificdata.org/vis?tm=proficiency&amp;pg=0&amp;snb=4&amp;df%5bds%5d=ds%3ASPC2&amp;df%5bid%5d=DF_SDG_04&amp;df%5bag%5d=SPC&amp;df%5bvs%5d=3.0&amp;pd=%2C&amp;dq=A.SE_TOT_PRFL..F._T._T._T.1_g7%2B1_y6..SKILL_MIN_NMRCY.&amp;ly%5brw%5d=GEO_PICT%2CEDUCATION%2CCOMPOSITE_BREAKDOWN&amp;ly%5bcl%5d=TIME_PERIOD&amp;ly%5brs%5d=INDICATOR&amp;to%5bTIME_PERIOD%5d=false" TargetMode="External"/><Relationship Id="rId232" Type="http://schemas.openxmlformats.org/officeDocument/2006/relationships/printerSettings" Target="../printerSettings/printerSettings2.bin"/><Relationship Id="rId27" Type="http://schemas.openxmlformats.org/officeDocument/2006/relationships/hyperlink" Target="https://stats-nsi-stable.pacificdata.org/rest/data/SPC,DF_SDG_04,3.0/A.SE_TOT_GPI.%5bTAG_GEO%5d._T._T._T._T._T._T._Z.?dimensionAtObservation=AllDimensions" TargetMode="External"/><Relationship Id="rId48" Type="http://schemas.openxmlformats.org/officeDocument/2006/relationships/hyperlink" Target="https://stats-nsi-stable.pacificdata.org/rest/data/SPC,DF_SDG_07,3.0/A.EG_EGY_CLEAN.%5bTAG_GEO%5d..._T._T....?dimensionAtObservation=AllDimensions" TargetMode="External"/><Relationship Id="rId69" Type="http://schemas.openxmlformats.org/officeDocument/2006/relationships/hyperlink" Target="https://stats-nsi-stable.pacificdata.org/rest/data/SPC,DF_PRISON,1.0/A.%5bTAG_GEO%5d.COUNT?dimensionAtObservation=AllDimensions" TargetMode="External"/><Relationship Id="rId113" Type="http://schemas.openxmlformats.org/officeDocument/2006/relationships/hyperlink" Target="https://stats.pacificdata.org/vis?tm=visitor&amp;pg=0&amp;df%5bds%5d=ds%3ASPC2&amp;df%5bid%5d=DF_OVERSEAS_VISITORS&amp;df%5bag%5d=SPC&amp;df%5bvs%5d=2.0&amp;pd=%2C&amp;dq=A.%5bTAG_GEO%5d._T.NOSVA&amp;ly%5bcl%5d=TIME_PERIOD" TargetMode="External"/><Relationship Id="rId134" Type="http://schemas.openxmlformats.org/officeDocument/2006/relationships/hyperlink" Target="https://stats.pacificdata.org/vis?tm=sdg%20water&amp;pg=0&amp;df%5bds%5d=ds%3ASPC2&amp;df%5bid%5d=DF_SDG_14&amp;df%5bag%5d=SPC&amp;df%5bvs%5d=3.0&amp;pd=%2C&amp;dq=A.ER_H2O_FWTL.%5bTAG_GEO%5d......._Z." TargetMode="External"/><Relationship Id="rId80" Type="http://schemas.openxmlformats.org/officeDocument/2006/relationships/hyperlink" Target="https://stats.pacificdata.org/vis?lc=en&amp;df%5bds%5d=ds%3ASPC2&amp;df%5bid%5d=DF_POP_AGE&amp;df%5bag%5d=SPC&amp;df%5bvs%5d=1.0&amp;dq=A.%5bTAG_GEO%5d.MEDIANAGE._T&amp;pd=%2C&amp;ly%5brw%5d=TIME_PERIOD" TargetMode="External"/><Relationship Id="rId155" Type="http://schemas.openxmlformats.org/officeDocument/2006/relationships/hyperlink" Target="https://stats.pacificdata.org/vis?tm=voice%20and%20accountability&amp;pg=0&amp;hc%5bIndicator%5d=Voice%20and%20Accountability&amp;df%5bds%5d=ds%3ASPC2&amp;df%5bid%5d=DF_WBWGI&amp;df%5bag%5d=SPC&amp;df%5bvs%5d=1.0&amp;pd=%2C&amp;dq=A.%5bTAG_GEO%5d.RL_EST&amp;ly%5bcl%5d=TIME_PERIOD" TargetMode="External"/><Relationship Id="rId176" Type="http://schemas.openxmlformats.org/officeDocument/2006/relationships/hyperlink" Target="https://stats.pacificdata.org/vis?tm=literacy%20rate&amp;pg=0&amp;snb=5&amp;df%5bds%5d=ds%3ASPC2&amp;df%5bid%5d=DF_NMDI_EDU&amp;df%5bag%5d=SPC&amp;df%5bvs%5d=1.0&amp;pd=%2C&amp;dq=A..NMDI0019._T._T._T..&amp;ly%5brw%5d=GEO_PICT&amp;ly%5bcl%5d=TIME_PERIOD" TargetMode="External"/><Relationship Id="rId197" Type="http://schemas.openxmlformats.org/officeDocument/2006/relationships/hyperlink" Target="https://stats.pacificdata.org/vis?tm=literacy%20rate&amp;pg=0&amp;snb=5&amp;df%5bds%5d=ds%3ASPC2&amp;df%5bid%5d=DF_UIS&amp;df%5bag%5d=SPC&amp;df%5bvs%5d=1.0&amp;pd=%2C&amp;dq=A..LR_AG25T64&amp;ly%5brw%5d=INDICATOR&amp;ly%5bcl%5d=TIME_PERIOD&amp;to%5bTIME_PERIOD%5d=false" TargetMode="External"/><Relationship Id="rId201" Type="http://schemas.openxmlformats.org/officeDocument/2006/relationships/hyperlink" Target="https://stats.pacificdata.org/vis?tm=literacy%20rate&amp;pg=0&amp;snb=5&amp;df%5bds%5d=ds%3ASPC2&amp;df%5bid%5d=DF_NMDI_EDU&amp;df%5bag%5d=SPC&amp;df%5bvs%5d=1.0&amp;pd=%2C&amp;dq=A..NMDI0019.M._T._T..&amp;ly%5brw%5d=GEO_PICT&amp;ly%5bcl%5d=TIME_PERIOD&amp;to%5bTIME_PERIOD%5d=false&amp;lb=nm" TargetMode="External"/><Relationship Id="rId222"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EDU&amp;df%5bag%5d=SPC&amp;df%5bvs%5d=1.0&amp;pd=%2C&amp;dq=A..NMDI0019._T._T.U._T.&amp;ly%5brw%5d=GEO_PICT&amp;ly%5bcl%5d=TIME_PERIOD&amp;to%5bTIME_PERIOD%5d=false" TargetMode="External"/><Relationship Id="rId17" Type="http://schemas.openxmlformats.org/officeDocument/2006/relationships/hyperlink" Target="https://stats-nsi-stable.pacificdata.org/rest/data/SPC,DF_POP_COAST,2.0/A.%5bTAG_GEO%5d.COASTALPOPRF.10KM?dimensionAtObservation=AllDimensions" TargetMode="External"/><Relationship Id="rId38" Type="http://schemas.openxmlformats.org/officeDocument/2006/relationships/hyperlink" Target="https://stats-nsi-stable.pacificdata.org/rest/data/SPC,DF_EGOV,1.0/A.%5bTAG_GEO%5d.EGI?dimensionAtObservation=AllDimensions" TargetMode="External"/><Relationship Id="rId59" Type="http://schemas.openxmlformats.org/officeDocument/2006/relationships/hyperlink" Target="https://stats-nsi-stable.pacificdata.org/rest/data/SPC,DF_KEYFACTS,1.0/A.%5bTAG_GEO%5d.EEZ?dimensionAtObservation=AllDimensions" TargetMode="External"/><Relationship Id="rId103" Type="http://schemas.openxmlformats.org/officeDocument/2006/relationships/hyperlink" Target="https://stats.pacificdata.org/vis?tm=wb%20wdi&amp;pg=0&amp;df%5bds%5d=ds%3ASPC2&amp;df%5bid%5d=DF_WBWDI&amp;df%5bag%5d=SPC&amp;df%5bvs%5d=1.0&amp;pd=%2C&amp;dq=A.%5bTAG_GEO%5d.NV_AGR_TOTL_ZS&amp;ly%5bcl%5d=TIME_PERIOD" TargetMode="External"/><Relationship Id="rId124" Type="http://schemas.openxmlformats.org/officeDocument/2006/relationships/hyperlink" Target="https://stats.pacificdata.org/vis?tm=access%20sanitation&amp;pg=0&amp;df%5bds%5d=ds%3ASPC2&amp;df%5bid%5d=DF_NMDI&amp;df%5bag%5d=SPC&amp;df%5bvs%5d=1.0&amp;pd=%2C&amp;dq=A.%5bTAG_GEO%5d.NMDI0133._T._T._T.." TargetMode="External"/><Relationship Id="rId70" Type="http://schemas.openxmlformats.org/officeDocument/2006/relationships/hyperlink" Target="https://stats-nsi-stable.pacificdata.org/rest/data/SPC,DF_SDG_16,3.0/A.SPC_16_7_2.%5bTAG_GEO%5d._T._T._T._T..._Z.?dimensionAtObservation=AllDimensions" TargetMode="External"/><Relationship Id="rId91" Type="http://schemas.openxmlformats.org/officeDocument/2006/relationships/hyperlink" Target="https://stats.pacificdata.org/vis?lc=en&amp;df%5bds%5d=SPC2&amp;df%5bid%5d=DF_SDG_03&amp;df%5bag%5d=SPC&amp;df%5bvs%5d=3.0&amp;dq=.SH_DYN_IMRT.%5bTAG_GEO%5d._T.......&amp;pd=%2C&amp;ly%5bcl%5d=TIME_PERIOD" TargetMode="External"/><Relationship Id="rId145" Type="http://schemas.openxmlformats.org/officeDocument/2006/relationships/hyperlink" Target="https://stats.pacificdata.org/vis?tm=gender&amp;pg=0&amp;df%5bds%5d=ds%3ASPC2&amp;df%5bid%5d=DF_SDG_05&amp;df%5bag%5d=SPC&amp;df%5bvs%5d=3.0&amp;pd=%2C&amp;dq=A.SG_GEN_PARL.%5bTAG_GEO%5d.F._T._T..._T._Z.&amp;ly%5bcl%5d=TIME_PERIOD" TargetMode="External"/><Relationship Id="rId166" Type="http://schemas.openxmlformats.org/officeDocument/2006/relationships/hyperlink" Target="https://stats.pacificdata.org/vis?tm=co2&amp;pg=0&amp;df%5bds%5d=ds%3ASPC2&amp;df%5bid%5d=DF_WBWDI&amp;df%5bag%5d=SPC&amp;df%5bvs%5d=1.0&amp;pd=%2C&amp;dq=A.%5bTAG_GEO%5d.EN_ATM_CO2E_PC&amp;ly%5bcl%5d=TIME_PERIOD" TargetMode="External"/><Relationship Id="rId187" Type="http://schemas.openxmlformats.org/officeDocument/2006/relationships/hyperlink" Target="https://stats.pacificdata.org/vis?lc=en&amp;df%5bds%5d=SPC2&amp;df%5bid%5d=DF_TRADE_FOOD&amp;df%5bag%5d=SPC&amp;df%5bvs%5d=1.0&amp;pd=%2C&amp;dq=A.Q._T.NR%2BWF%2BTV%2BTO%2BWS%2BNU%2BPF%2BCK%2BAS%2BPW%2BMH%2BKI%2BGU%2BFM%2BVU%2BSB%2BPG%2BNC%2BFJ.03&amp;ly%5bcl%5d=TIME_PERIOD&amp;to%5bTIME_PERIOD%5d=false" TargetMode="External"/><Relationship Id="rId1" Type="http://schemas.openxmlformats.org/officeDocument/2006/relationships/hyperlink" Target="https://stats-nsi-stable.pacificdata.org/rest/data/SPC,DF_POP_PROJ,3.0/A.%5bTAG_GEO%5d.MIDYEARPOPEST._T._T?startPeriod=2015&amp;endPeriod=2025&amp;dimensionAtObservation=AllDimensions" TargetMode="External"/><Relationship Id="rId212" Type="http://schemas.openxmlformats.org/officeDocument/2006/relationships/hyperlink" Target="https://stats-sdmx-disseminate.pacificdata.org/rest/data/SPC,DF_SDG_04,3.0/A.SE_TOT_PRFL..F._T._T._T.1_g7+1_y6..SKILL_MIN_NMRCY.?dimensionAtObservation=AllDimensions" TargetMode="External"/><Relationship Id="rId233" Type="http://schemas.openxmlformats.org/officeDocument/2006/relationships/vmlDrawing" Target="../drawings/vmlDrawing1.vml"/><Relationship Id="rId28" Type="http://schemas.openxmlformats.org/officeDocument/2006/relationships/hyperlink" Target="https://stats-nsi-stable.pacificdata.org/rest/data/SPC,DF_SDG_04,3.0/A.SE_ADT_EDUCTRN.%5bTAG_GEO%5d._T._T._T._T._T._T._Z.?dimensionAtObservation=AllDimensions" TargetMode="External"/><Relationship Id="rId49" Type="http://schemas.openxmlformats.org/officeDocument/2006/relationships/hyperlink" Target="https://stats-nsi-stable.pacificdata.org/rest/data/SPC,DF_SDG_07,3.0/A.EG_EGY_PRIM.%5bTAG_GEO%5d..._T._T....?dimensionAtObservation=AllDimensions" TargetMode="External"/><Relationship Id="rId114" Type="http://schemas.openxmlformats.org/officeDocument/2006/relationships/hyperlink" Target="https://stats.pacificdata.org/vis?tm=wb%20dai&amp;pg=0&amp;df%5bds%5d=ds%3ASPC2&amp;df%5bid%5d=DF_WBDAI&amp;df%5bag%5d=SPC&amp;df%5bvs%5d=1.0&amp;pd=%2C&amp;dq=A.%5bTAG_GEO%5d.DAI&amp;ly%5bcl%5d=TIME_PERIOD" TargetMode="External"/><Relationship Id="rId60" Type="http://schemas.openxmlformats.org/officeDocument/2006/relationships/hyperlink" Target="https://stats-nsi-stable.pacificdata.org/rest/data/SPC,DF_SDG_14,3.0/A.ER_MRN_MARIN.%5bTAG_GEO%5d......._Z.?dimensionAtObservation=AllDimensions" TargetMode="External"/><Relationship Id="rId81" Type="http://schemas.openxmlformats.org/officeDocument/2006/relationships/hyperlink" Target="https://stats.pacificdata.org/vis?lc=en&amp;df%5bds%5d=ds%3ASPC2&amp;df%5bid%5d=DF_POP_PROJ&amp;df%5bag%5d=SPC&amp;df%5bvs%5d=3.0&amp;dq=A.%5bTAG_GEO%5d.POPYGR._T._T&amp;pd=%2C&amp;ly%5brw%5d=TIME_PERIOD" TargetMode="External"/><Relationship Id="rId135" Type="http://schemas.openxmlformats.org/officeDocument/2006/relationships/hyperlink" Target="https://stats.pacificdata.org/vis?tm=voice%20and%20accountability&amp;pg=0&amp;hc%5bIndicator%5d=Voice%20and%20Accountability&amp;df%5bds%5d=ds%3ASPC2&amp;df%5bid%5d=DF_WBWGI&amp;df%5bag%5d=SPC&amp;df%5bvs%5d=1.0&amp;pd=%2C&amp;dq=A.%5bTAG_GEO%5d.VA_EST&amp;ly%5bcl%5d=TIME_PERIOD" TargetMode="External"/><Relationship Id="rId156" Type="http://schemas.openxmlformats.org/officeDocument/2006/relationships/hyperlink" Target="https://stats.pacificdata.org/vis?tm=voice%20and%20accountability&amp;pg=0&amp;hc%5bIndicator%5d=Voice%20and%20Accountability&amp;df%5bds%5d=ds%3ASPC2&amp;df%5bid%5d=DF_WBWGI&amp;df%5bag%5d=SPC&amp;df%5bvs%5d=1.0&amp;pd=%2C&amp;dq=A.%5bTAG_GEO%5d.RQ_EST&amp;ly%5bcl%5d=TIME_PERIOD" TargetMode="External"/><Relationship Id="rId177" Type="http://schemas.openxmlformats.org/officeDocument/2006/relationships/hyperlink" Target="https://stats.pacificdata.org/vis?fs%5b0%5d=Topic%2C0%7CMulti-domain%23XDO%23&amp;pg=0&amp;fc=Topic&amp;bp=true&amp;snb=6&amp;df%5bds%5d=ds%3ASPC2&amp;df%5bid%5d=DF_KEYFACTS&amp;df%5bag%5d=SPC&amp;df%5bvs%5d=1.0&amp;pd=2020%2C2021&amp;dq=A..GOV&amp;ly%5brw%5d=GEO_PICT" TargetMode="External"/><Relationship Id="rId198" Type="http://schemas.openxmlformats.org/officeDocument/2006/relationships/hyperlink" Target="https://stats.pacificdata.org/vis?tm=literacy%20rate&amp;pg=0&amp;snb=5&amp;df%5bds%5d=ds%3ASPC2&amp;df%5bid%5d=DF_UIS&amp;df%5bag%5d=SPC&amp;df%5bvs%5d=1.0&amp;pd=%2C&amp;dq=A..LR_AG25T64_M&amp;ly%5brw%5d=INDICATOR&amp;ly%5bcl%5d=TIME_PERIOD&amp;to%5bTIME_PERIOD%5d=false" TargetMode="External"/><Relationship Id="rId202" Type="http://schemas.openxmlformats.org/officeDocument/2006/relationships/hyperlink" Target="https://stats.pacificdata.org/vis?tm=population&amp;pg=0&amp;hc%5bTopic%5d=Population&amp;snb=42&amp;df%5bds%5d=ds%3ASPC2&amp;df%5bid%5d=DF_POP_AGE&amp;df%5bag%5d=SPC&amp;df%5bvs%5d=1.0&amp;pd=%2C&amp;dq=A..POPYOUTH._T&amp;ly%5brw%5d=GEO_PICT&amp;to%5bTIME_PERIOD%5d=false" TargetMode="External"/><Relationship Id="rId223"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EDU&amp;df%5bag%5d=SPC&amp;df%5bvs%5d=1.0&amp;pd=%2C&amp;dq=A..NMDI0019._T._T.R._T.&amp;ly%5brw%5d=GEO_PICT&amp;ly%5bcl%5d=TIME_PERIOD&amp;to%5bTIME_PERIOD%5d=false" TargetMode="External"/><Relationship Id="rId18" Type="http://schemas.openxmlformats.org/officeDocument/2006/relationships/hyperlink" Target="https://stats-nsi-stable.pacificdata.org/rest/data/SPC,DF_POP_AGE,1.0/A.%5bTAG_GEO%5d.DEPRATIO1564._T?dimensionAtObservation=AllDimensions" TargetMode="External"/><Relationship Id="rId39" Type="http://schemas.openxmlformats.org/officeDocument/2006/relationships/hyperlink" Target="https://stats-nsi-stable.pacificdata.org/rest/data/SPC,DF_TOURISM_EARNINGS,1.0/A.%5bTAG_GEO%5d.EARN2GDP.USD?dimensionAtObservation=AllDimensions" TargetMode="External"/><Relationship Id="rId50" Type="http://schemas.openxmlformats.org/officeDocument/2006/relationships/hyperlink" Target="https://stats-nsi-stable.pacificdata.org/rest/data/SPC,DF_WBWDI,1.0/A.%5bTAG_GEO%5d.EG_ELC_RNEW_ZS?dimensionAtObservation=AllDimensions" TargetMode="External"/><Relationship Id="rId104" Type="http://schemas.openxmlformats.org/officeDocument/2006/relationships/hyperlink" Target="https://stats.pacificdata.org/vis?tm=wb%20wdi&amp;pg=0&amp;df%5bds%5d=ds%3ASPC2&amp;df%5bid%5d=DF_WBWDI&amp;df%5bag%5d=SPC&amp;df%5bvs%5d=1.0&amp;pd=%2C&amp;dq=A.%5bTAG_GEO%5d.NV_IND_TOTL_ZS&amp;ly%5bcl%5d=TIME_PERIOD" TargetMode="External"/><Relationship Id="rId125" Type="http://schemas.openxmlformats.org/officeDocument/2006/relationships/hyperlink" Target="https://stats.pacificdata.org/vis?tm=SDG%2011&amp;pg=0&amp;df%5bds%5d=ds%3ASPC2&amp;df%5bid%5d=DF_SDG_11&amp;df%5bag%5d=SPC&amp;df%5bvs%5d=3.0&amp;pd=%2C&amp;dq=A.VC_DSR_MORT.%5bTAG_GEO%5d..._T.....&amp;ly%5bcl%5d=TIME_PERIOD&amp;hc%5bdataflowId%5d=DF_SDG_11" TargetMode="External"/><Relationship Id="rId146" Type="http://schemas.openxmlformats.org/officeDocument/2006/relationships/hyperlink" Target="https://stats.pacificdata.org/vis?tm=gender&amp;pg=0&amp;df%5bds%5d=ds%3ASPC2&amp;df%5bid%5d=DF_SDG_05&amp;df%5bag%5d=SPC&amp;df%5bvs%5d=3.0&amp;pd=%2C&amp;dq=A.IC_GEN_MGTL.%5bTAG_GEO%5d._T._T._T..._T._Z.&amp;ly%5bcl%5d=TIME_PERIOD" TargetMode="External"/><Relationship Id="rId167" Type="http://schemas.openxmlformats.org/officeDocument/2006/relationships/hyperlink" Target="https://stats-nsi-stable.pacificdata.org/rest/data/SPC,DF_WBWDI,1.0/A.%5bTAG_GEO%5d.EN_ATM_CO2E_PC?dimensionAtObservation=AllDimensions" TargetMode="External"/><Relationship Id="rId188" Type="http://schemas.openxmlformats.org/officeDocument/2006/relationships/hyperlink" Target="https://stats-sdmx-disseminate.pacificdata.org/rest/data/SPC,DF_TRADE_FOOD,1.0/A.Q._T.NR+WF+TV+TO+WS+NU+PF+CK+AS+PW+MH+KI+GU+FM+VU+SB+PG+NC+FJ.03?dimensionAtObservation=AllDimensions" TargetMode="External"/><Relationship Id="rId71" Type="http://schemas.openxmlformats.org/officeDocument/2006/relationships/hyperlink" Target="https://stats-nsi-stable.pacificdata.org/rest/data/SPC,DF_VITAL,1.0/A.%5bTAG_GEO%5d.TNFR._T?dimensionAtObservation=AllDimensions" TargetMode="External"/><Relationship Id="rId92" Type="http://schemas.openxmlformats.org/officeDocument/2006/relationships/hyperlink" Target="https://stats.pacificdata.org/vis?lc=en&amp;df%5bds%5d=ds%3ASPC2&amp;df%5bid%5d=DF_SDG_03&amp;df%5bag%5d=SPC&amp;df%5bvs%5d=3.0&amp;dq=A.SH_STA_MORT.%5bTAG_GEO%5d.F._T._T..._T._Z.&amp;pd=%2C&amp;ly%5bcl%5d=TIME_PERIOD&amp;tm=maternal&amp;pg=0" TargetMode="External"/><Relationship Id="rId213" Type="http://schemas.openxmlformats.org/officeDocument/2006/relationships/hyperlink" Target="https://stats.pacificdata.org/vis?tm=proficiency&amp;pg=0&amp;snb=4&amp;df%5bds%5d=ds%3ASPC2&amp;df%5bid%5d=DF_SDG_04&amp;df%5bag%5d=SPC&amp;df%5bvs%5d=3.0&amp;pd=%2C&amp;dq=A.SE_TOT_PRFL..M._T._T._T.1_g7%2B1_y6..SKILL_MIN_NMRCY.&amp;ly%5brw%5d=GEO_PICT%2CEDUCATION%2CCOMPOSITE_BREAKDOWN&amp;ly%5bcl%5d=TIME_PERIOD&amp;ly%5brs%5d=INDICATOR&amp;to%5bTIME_PERIOD%5d=false" TargetMode="External"/><Relationship Id="rId234" Type="http://schemas.openxmlformats.org/officeDocument/2006/relationships/comments" Target="../comments1.xml"/><Relationship Id="rId2" Type="http://schemas.openxmlformats.org/officeDocument/2006/relationships/hyperlink" Target="https://stats-nsi-stable.pacificdata.org/rest/data/SPC,DF_POP_URBAN,1.0/A.%5bTAG_GEO%5d.POPRFCOU.U?dimensionAtObservation=AllDimensions" TargetMode="External"/><Relationship Id="rId29" Type="http://schemas.openxmlformats.org/officeDocument/2006/relationships/hyperlink" Target="https://stats-nsi-stable.pacificdata.org/rest/data/SPC,DF_SOCECO,1.0/A.%5bTAG_GEO%5d.OFB2GDP?dimensionAtObservation=AllDimensions" TargetMode="External"/><Relationship Id="rId40" Type="http://schemas.openxmlformats.org/officeDocument/2006/relationships/hyperlink" Target="https://stats-nsi-stable.pacificdata.org/rest/data/SPC,DF_TOURISM_EARNINGS,1.0/A.%5bTAG_GEO%5d.EARN2VIS.USD?dimensionAtObservation=AllDimensions" TargetMode="External"/><Relationship Id="rId115" Type="http://schemas.openxmlformats.org/officeDocument/2006/relationships/hyperlink" Target="https://stats.pacificdata.org/vis?tm=digital&amp;pg=0&amp;df%5bds%5d=ds%3ASPC2&amp;df%5bid%5d=DF_DIGITAL_DEVELOPMENT&amp;df%5bag%5d=SPC&amp;df%5bvs%5d=1.0&amp;pd=%2C&amp;dq=A.%5bTAG_GEO%5d.DD024&amp;ly%5bcl%5d=TIME_PERIOD" TargetMode="External"/><Relationship Id="rId136" Type="http://schemas.openxmlformats.org/officeDocument/2006/relationships/hyperlink" Target="https://stats.pacificdata.org/vis?tm=voice%20and%20accountability&amp;pg=0&amp;hc%5bIndicator%5d=Voice%20and%20Accountability&amp;df%5bds%5d=ds%3ASPC2&amp;df%5bid%5d=DF_WBWGI&amp;df%5bag%5d=SPC&amp;df%5bvs%5d=1.0&amp;pd=%2C&amp;dq=A.%5bTAG_GEO%5d.GE_EST&amp;ly%5bcl%5d=TIME_PERIOD" TargetMode="External"/><Relationship Id="rId157" Type="http://schemas.openxmlformats.org/officeDocument/2006/relationships/hyperlink" Target="https://stats.pacificdata.org/vis?fs%5b0%5d=Topic%2C0%7CEconomy%23ECO%23&amp;pg=0&amp;fc=Topic&amp;df%5bds%5d=ds%3ASPC2&amp;df%5bid%5d=DF_NATIONAL_ACCOUNTS&amp;df%5bag%5d=SPC&amp;df%5bvs%5d=1.0&amp;pd=%2C2021&amp;dq=A.USD.%5bTAG_GEO%5d.GDPCPC&amp;ly%5bcl%5d=TIME_PERIOD" TargetMode="External"/><Relationship Id="rId178" Type="http://schemas.openxmlformats.org/officeDocument/2006/relationships/hyperlink" Target="https://stats-sdmx-disseminate.pacificdata.org/rest/data/SPC,DF_SDG_03,3.0/A.SH_MED_DEN.%5bTAG_GEO%5d._T._T._T._T._T.222._Z._T?dimensionAtObservation=AllDimensions" TargetMode="External"/><Relationship Id="rId61" Type="http://schemas.openxmlformats.org/officeDocument/2006/relationships/hyperlink" Target="https://stats-nsi-stable.pacificdata.org/rest/data/SPC,DF_SDG_14,3.0/A.SPC_14_7_1.%5bTAG_GEO%5d......._Z.?dimensionAtObservation=AllDimensions" TargetMode="External"/><Relationship Id="rId82" Type="http://schemas.openxmlformats.org/officeDocument/2006/relationships/hyperlink" Target="https://stats.pacificdata.org/vis?lc=en&amp;df%5bds%5d=ds%3ASPC2&amp;df%5bid%5d=DF_HHCOUNTS&amp;df%5bag%5d=SPC&amp;df%5bvs%5d=1.0&amp;dq=A.%5bTAG_GEO%5d.HHSZ&amp;pd=%2C&amp;ly%5brw%5d=TIME_PERIOD" TargetMode="External"/><Relationship Id="rId199" Type="http://schemas.openxmlformats.org/officeDocument/2006/relationships/hyperlink" Target="https://stats.pacificdata.org/vis?tm=literacy%20rate&amp;pg=0&amp;snb=5&amp;df%5bds%5d=ds%3ASPC2&amp;df%5bid%5d=DF_UIS&amp;df%5bag%5d=SPC&amp;df%5bvs%5d=1.0&amp;pd=%2C&amp;dq=A..LR_AG25T64_F&amp;ly%5brw%5d=INDICATOR&amp;ly%5bcl%5d=TIME_PERIOD&amp;to%5bTIME_PERIOD%5d=false" TargetMode="External"/><Relationship Id="rId203" Type="http://schemas.openxmlformats.org/officeDocument/2006/relationships/hyperlink" Target="https://stats.pacificdata.org/vis?tm=proficiency&amp;pg=0&amp;snb=4&amp;df%5bds%5d=ds%3ASPC2&amp;df%5bid%5d=DF_SDG_04&amp;df%5bag%5d=SPC&amp;df%5bvs%5d=3.0&amp;pd=%2C&amp;dq=A.SE_TOT_PRFL.._T._T._T._T.1_g7%2B1_y6..SKILL_MIN_LTRCY.&amp;ly%5brw%5d=GEO_PICT%2CEDUCATION%2CCOMPOSITE_BREAKDOWN&amp;ly%5bcl%5d=TIME_PERIOD&amp;ly%5brs%5d=INDICATOR&amp;to%5bTIME_PERIOD%5d=false" TargetMode="External"/><Relationship Id="rId19" Type="http://schemas.openxmlformats.org/officeDocument/2006/relationships/hyperlink" Target="https://stats-nsi-stable.pacificdata.org/rest/data/SPC,DF_NMDI_HEA,1.0/A.%5bTAG_GEO%5d.SH_DTH_NCD._T._T._T..?dimensionAtObservation=AllDimensions" TargetMode="External"/><Relationship Id="rId224" Type="http://schemas.openxmlformats.org/officeDocument/2006/relationships/hyperlink" Target="https://stats-sdmx-disseminate.pacificdata.org/rest/data/SPC,DF_NMDI_EDU,1.0/A..NMDI0019._T._T.R._T.?dimensionAtObservation=AllDimensions" TargetMode="External"/><Relationship Id="rId30" Type="http://schemas.openxmlformats.org/officeDocument/2006/relationships/hyperlink" Target="https://stats-nsi-stable.pacificdata.org/rest/data/SPC,DF_WBWDI,1.0/A.%5bTAG_GEO%5d.NV_AGR_TOTL_ZS?dimensionAtObservation=AllDimensions" TargetMode="External"/><Relationship Id="rId105" Type="http://schemas.openxmlformats.org/officeDocument/2006/relationships/hyperlink" Target="https://stats.pacificdata.org/vis?tm=wb%20wdi&amp;pg=0&amp;df%5bds%5d=ds%3ASPC2&amp;df%5bid%5d=DF_WBWDI&amp;df%5bag%5d=SPC&amp;df%5bvs%5d=1.0&amp;pd=%2C&amp;dq=A.%5bTAG_GEO%5d.NV_SRV_TOTL_ZS&amp;ly%5bcl%5d=TIME_PERIOD" TargetMode="External"/><Relationship Id="rId126" Type="http://schemas.openxmlformats.org/officeDocument/2006/relationships/hyperlink" Target="https://stats.pacificdata.org/vis?tm=SDG%2011&amp;pg=0&amp;df%5bds%5d=ds%3ASPC2&amp;df%5bid%5d=DF_SDG_11&amp;df%5bag%5d=SPC&amp;df%5bvs%5d=3.0&amp;pd=%2C&amp;dq=A.VC_DSR_MISS.%5bTAG_GEO%5d..._T.....&amp;ly%5bcl%5d=TIME_PERIOD&amp;hc%5bdataflowId%5d=DF_SDG_11" TargetMode="External"/><Relationship Id="rId147" Type="http://schemas.openxmlformats.org/officeDocument/2006/relationships/hyperlink" Target="https://stats.pacificdata.org/vis?tm=sdg%2010&amp;pg=0&amp;hc%5bdataflowId%5d=DF_SDG_10&amp;df%5bds%5d=ds%3ASPC2&amp;df%5bid%5d=DF_SDG_10&amp;df%5bag%5d=SPC&amp;df%5bvs%5d=3.0&amp;pd=%2C&amp;dq=A.DC_TRF_TOTL.%5bTAG_GEO%5d......._Z.&amp;ly%5bcl%5d=TIME_PERIOD" TargetMode="External"/><Relationship Id="rId168" Type="http://schemas.openxmlformats.org/officeDocument/2006/relationships/hyperlink" Target="https://stats.pacificdata.org/vis?tm=fertility&amp;pg=0&amp;df%5bds%5d=ds%3ASPC2&amp;df%5bid%5d=DF_VITAL&amp;df%5bag%5d=SPC&amp;df%5bvs%5d=1.0&amp;pd=%2C&amp;dq=A.%5bTAG_GEO%5d.TFR.&amp;ly%5bcl%5d=TIME_PERIOD" TargetMode="External"/><Relationship Id="rId51" Type="http://schemas.openxmlformats.org/officeDocument/2006/relationships/hyperlink" Target="https://stats-nsi-stable.pacificdata.org/rest/data/SPC,DF_NMDI,1.0/A.%5bTAG_GEO%5d.NMDI0134._T._T._T..?dimensionAtObservation=AllDimensions" TargetMode="External"/><Relationship Id="rId72" Type="http://schemas.openxmlformats.org/officeDocument/2006/relationships/hyperlink" Target="https://stats-nsi-stable.pacificdata.org/rest/data/SPC,DF_SDG_05,3.0/A.SPC_5_2_2.%5bTAG_GEO%5d.F.Y15T999._T..._T._Z.?dimensionAtObservation=AllDimensions" TargetMode="External"/><Relationship Id="rId93" Type="http://schemas.openxmlformats.org/officeDocument/2006/relationships/hyperlink" Target="https://stats.pacificdata.org/vis?tm=health&amp;pg=0&amp;df%5bds%5d=ds%3ASPC2&amp;df%5bid%5d=DF_NMDI_HEA&amp;df%5bag%5d=SPC&amp;df%5bvs%5d=1.0&amp;pd=%2C&amp;dq=A.%5bTAG_GEO%5d.NMDI0131._T._T._T.." TargetMode="External"/><Relationship Id="rId189" Type="http://schemas.openxmlformats.org/officeDocument/2006/relationships/hyperlink" Target="https://stats.pacificdata.org/vis?lc=en&amp;tm=Total%20donors&amp;pg=0&amp;hc%5bFlow%20type%5d=Total&amp;hc%5bDonor%5d=Total&amp;snb=3&amp;df%5bds%5d=ds%3ASPC2&amp;df%5bid%5d=DF_PAM&amp;df%5bag%5d=SPC&amp;df%5bvs%5d=1.0&amp;pd=%2C&amp;dq=A.VU%2BTV%2BTO%2BSB%2BWS%2BPG%2BPW%2BNU%2BNR%2BFM%2BMH%2BKI%2BFJ%2BCK.TRVAL._T.COM._T&amp;ly%5bcl%5d=TIME_PERIOD&amp;ly%5brw%5d=GEO_PICT&amp;to%5bTIME_PERIOD%5d=false" TargetMode="External"/><Relationship Id="rId3" Type="http://schemas.openxmlformats.org/officeDocument/2006/relationships/hyperlink" Target="https://stats-nsi-stable.pacificdata.org/rest/data/SPC,DF_POP_AGE,1.0/A.%5bTAG_GEO%5d.MEDIANAGE._T?dimensionAtObservation=AllDimensions" TargetMode="External"/><Relationship Id="rId214" Type="http://schemas.openxmlformats.org/officeDocument/2006/relationships/hyperlink" Target="https://stats-sdmx-disseminate.pacificdata.org/rest/data/SPC,DF_SDG_04,3.0/A.SE_TOT_PRFL..M._T._T._T.1_g7+1_y6..SKILL_MIN_NMRCY.?dimensionAtObservation=AllDimensions" TargetMode="External"/><Relationship Id="rId116" Type="http://schemas.openxmlformats.org/officeDocument/2006/relationships/hyperlink" Target="https://stats.pacificdata.org/vis?tm=partner&amp;pg=0&amp;df%5bds%5d=ds%3ASPC2&amp;df%5bid%5d=DF_SDG_17&amp;df%5bag%5d=SPC&amp;df%5bvs%5d=3.0&amp;pd=%2C&amp;dq=A.SPC_17_3_1.%5bTAG_GEO%5d._T._T._T...._Z.&amp;ly%5bcl%5d=TIME_PERIOD" TargetMode="External"/><Relationship Id="rId137" Type="http://schemas.openxmlformats.org/officeDocument/2006/relationships/hyperlink" Target="https://stats.pacificdata.org/vis?tm=voice%20and%20accountability&amp;pg=0&amp;hc%5bIndicator%5d=Voice%20and%20Accountability&amp;df%5bds%5d=ds%3ASPC2&amp;df%5bid%5d=DF_WBWGI&amp;df%5bag%5d=SPC&amp;df%5bvs%5d=1.0&amp;pd=%2C&amp;dq=A.%5bTAG_GEO%5d.CC_EST&amp;ly%5bcl%5d=TIME_PERIOD" TargetMode="External"/><Relationship Id="rId158" Type="http://schemas.openxmlformats.org/officeDocument/2006/relationships/hyperlink" Target="https://stats-nsi-stable.pacificdata.org/rest/data/SPC,DF_NATIONAL_ACCOUNTS,1.0/A.USD.%5bTAG_GEO%5d.GDPCPC?endPeriod=2021&amp;dimensionAtObservation=AllDimensions"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stats.pacificdata.org/vis?tm=nmdi&amp;pg=0&amp;df%5bds%5d=ds%3ASPC2&amp;df%5bid%5d=DF_NMDI_FIS&amp;df%5bag%5d=SPC&amp;df%5bvs%5d=1.0&amp;pd=%2C&amp;dq=A.%5bTAG_GEO%5d.NMDI0059._T._T._T.." TargetMode="External"/><Relationship Id="rId21" Type="http://schemas.openxmlformats.org/officeDocument/2006/relationships/hyperlink" Target="https://stats-nsi-stable.pacificdata.org/rest/data/SPC,DF_SDG_03,3.0/A.SH_IHR_CAPS.%5bTAG_GEO%5d._T._T._T..._T._Z.?dimensionAtObservation=AllDimensions" TargetMode="External"/><Relationship Id="rId42" Type="http://schemas.openxmlformats.org/officeDocument/2006/relationships/hyperlink" Target="https://stats-nsi-stable.pacificdata.org/rest/data/SPC,DF_WBDAI,1.0/A.%5bTAG_GEO%5d.DAI?dimensionAtObservation=AllDimensions" TargetMode="External"/><Relationship Id="rId63" Type="http://schemas.openxmlformats.org/officeDocument/2006/relationships/hyperlink" Target="https://stats-nsi-stable.pacificdata.org/rest/data/SPC,DF_WBWGI,1.0/A.%5bTAG_GEO%5d.RL_EST?dimensionAtObservation=AllDimensions" TargetMode="External"/><Relationship Id="rId84" Type="http://schemas.openxmlformats.org/officeDocument/2006/relationships/hyperlink" Target="https://stats.pacificdata.org/vis?lc=en&amp;df%5bds%5d=ds%3ASPC2&amp;df%5bid%5d=DF_POP_COAST&amp;df%5bag%5d=SPC&amp;df%5bvs%5d=2.0&amp;dq=A.%5bTAG_GEO%5d.COASTALPOPRF.1KM&amp;pd=%2C&amp;ly%5brw%5d=TIME_PERIOD" TargetMode="External"/><Relationship Id="rId138" Type="http://schemas.openxmlformats.org/officeDocument/2006/relationships/hyperlink" Target="https://stats.pacificdata.org/vis?tm=prison&amp;pg=0&amp;df%5bds%5d=ds%3ASPC2&amp;df%5bid%5d=DF_PRISON&amp;df%5bag%5d=SPC&amp;df%5bvs%5d=1.0&amp;pd=%2C&amp;dq=A.%5bTAG_GEO%5d.COUNT&amp;ly%5brw%5d=TIME_PERIOD" TargetMode="External"/><Relationship Id="rId159" Type="http://schemas.openxmlformats.org/officeDocument/2006/relationships/hyperlink" Target="https://stats-nsi-stable.pacificdata.org/rest/data/SPC,DF_NATIONAL_ACCOUNTS,1.0/A.USD.%5bTAG_GEO%5d.GDPCVR?endPeriod=2021&amp;dimensionAtObservation=AllDimensions" TargetMode="External"/><Relationship Id="rId170" Type="http://schemas.openxmlformats.org/officeDocument/2006/relationships/hyperlink" Target="https://stats-sdmx-disseminate.pacificdata.org/rest/data/SPC,DF_SDG_05,/A..............?startPeriod=2025&amp;dimensionAtObservation=AllDimensions" TargetMode="External"/><Relationship Id="rId191" Type="http://schemas.openxmlformats.org/officeDocument/2006/relationships/hyperlink" Target="https://stats-sdmx-disseminate.pacificdata.org/rest/data/SPC,DF_PAM,1.0/A.VU+TV+TO+SB+WS+PG+PW+NU+NR+FM+MH+KI+FJ+CK.TRVAL._T.SPE._T?dimensionAtObservation=AllDimensions" TargetMode="External"/><Relationship Id="rId205" Type="http://schemas.openxmlformats.org/officeDocument/2006/relationships/hyperlink" Target="https://stats-sdmx-disseminate.pacificdata.org/rest/data/SPC,DF_SDG_04,3.0/A.SE_TOT_PRFL..F._T._T._T.1_g7+1_y6..SKILL_MIN_LTRCY.?dimensionAtObservation=AllDimensions" TargetMode="External"/><Relationship Id="rId226" Type="http://schemas.openxmlformats.org/officeDocument/2006/relationships/hyperlink" Target="https://stats-sdmx-disseminate.pacificdata.org/rest/data/SPC,DF_NMDI_HEA,1.0/A..NMDI0103._T._T._T..?dimensionAtObservation=AllDimensions" TargetMode="External"/><Relationship Id="rId247" Type="http://schemas.openxmlformats.org/officeDocument/2006/relationships/hyperlink" Target="https://prosperitydata360.worldbank.org/en/indicator/VDEM+CORE+v2x_civlib" TargetMode="External"/><Relationship Id="rId107" Type="http://schemas.openxmlformats.org/officeDocument/2006/relationships/hyperlink" Target="https://stats.pacificdata.org/vis?tm=decent%20work&amp;pg=0&amp;df%5bds%5d=ds%3ASPC2&amp;df%5bid%5d=DF_SDG_08&amp;df%5bag%5d=SPC&amp;df%5bvs%5d=3.0&amp;pd=%2C&amp;dq=A.SL_TLF_UEM.%5bTAG_GEO%5d._T._T._T..._T.._T&amp;ly%5bcl%5d=TIME_PERIOD" TargetMode="External"/><Relationship Id="rId11" Type="http://schemas.openxmlformats.org/officeDocument/2006/relationships/hyperlink" Target="https://stats-nsi-stable.pacificdata.org/rest/data/SPC,DF_SDG_03,3.0/.SH_DYN_IMRT.%5bTAG_GEO%5d._T.......?dimensionAtObservation=AllDimensions" TargetMode="External"/><Relationship Id="rId32" Type="http://schemas.openxmlformats.org/officeDocument/2006/relationships/hyperlink" Target="https://stats-nsi-stable.pacificdata.org/rest/data/SPC,DF_WBWDI,1.0/A.%5bTAG_GEO%5d.NV_SRV_TOTL_ZS?dimensionAtObservation=AllDimensions" TargetMode="External"/><Relationship Id="rId53" Type="http://schemas.openxmlformats.org/officeDocument/2006/relationships/hyperlink" Target="https://stats-nsi-stable.pacificdata.org/rest/data/SPC,DF_SDG_11,3.0/A.VC_DSR_MORT.%5bTAG_GEO%5d..._T.....?dimensionAtObservation=AllDimensions" TargetMode="External"/><Relationship Id="rId74" Type="http://schemas.openxmlformats.org/officeDocument/2006/relationships/hyperlink" Target="https://stats-nsi-stable.pacificdata.org/rest/data/SPC,DF_SDG_05,3.0/A.SG_GEN_PARL.%5bTAG_GEO%5d.F._T._T..._T._Z.?dimensionAtObservation=AllDimensions" TargetMode="External"/><Relationship Id="rId128" Type="http://schemas.openxmlformats.org/officeDocument/2006/relationships/hyperlink" Target="https://stats.pacificdata.org/vis?tm=food%20imports&amp;pg=0&amp;df%5bds%5d=ds%3ASPC2&amp;df%5bid%5d=DF_WBWDI&amp;df%5bag%5d=SPC&amp;df%5bvs%5d=1.0&amp;pd=%2C&amp;dq=A.%5bTAG_GEO%5d.TM_VAL_FOOD_ZS_UN&amp;ly%5bcl%5d=TIME_PERIOD" TargetMode="External"/><Relationship Id="rId149" Type="http://schemas.openxmlformats.org/officeDocument/2006/relationships/hyperlink" Target="https://stats.pacificdata.org/vis?lc=en&amp;tm=sdg%20health&amp;pg=0&amp;df%5bds%5d=ds%3ASPC2&amp;df%5bid%5d=DF_SDG_03&amp;df%5bag%5d=SPC&amp;df%5bvs%5d=3.0&amp;pd=%2C&amp;dq=A.SH_IHR_CAPS.%5bTAG_GEO%5d._T._T._T..._T._Z." TargetMode="External"/><Relationship Id="rId5" Type="http://schemas.openxmlformats.org/officeDocument/2006/relationships/hyperlink" Target="https://stats-nsi-stable.pacificdata.org/rest/data/SPC,DF_POP_DENSITY,1.0/A.%5bTAG_GEO%5d.POPDENSITY?dimensionAtObservation=AllDimensions" TargetMode="External"/><Relationship Id="rId95" Type="http://schemas.openxmlformats.org/officeDocument/2006/relationships/hyperlink" Target="https://stats.pacificdata.org/vis?lc=en&amp;tm=sdg%20health&amp;pg=0&amp;df%5bds%5d=ds%3ASPC2&amp;df%5bid%5d=DF_SDG_03&amp;df%5bag%5d=SPC&amp;df%5bvs%5d=3.0&amp;pd=%2C&amp;dq=A.SH_STA_BRTC.%5bTAG_GEO%5d._T._T._T..._T._Z.&amp;ly%5bcl%5d=TIME_PERIOD" TargetMode="External"/><Relationship Id="rId160" Type="http://schemas.openxmlformats.org/officeDocument/2006/relationships/hyperlink" Target="https://stats.pacificdata.org/vis?fs%5b0%5d=Topic%2C0%7CSocial%23SOC%23&amp;pg=0&amp;fc=Topic&amp;df%5bds%5d=ds%3ASPC2&amp;df%5bid%5d=DF_EMPRATES&amp;df%5bag%5d=SPC&amp;df%5bvs%5d=1.0&amp;pd=%2C&amp;dq=A.%5bTAG_GEO%5d.LFPARTRATE.M._T._T._T" TargetMode="External"/><Relationship Id="rId181" Type="http://schemas.openxmlformats.org/officeDocument/2006/relationships/hyperlink" Target="https://stats-sdmx-disseminate.pacificdata.org/rest/data/SPC,DF_NMDI_EDU,1.0/A.%5bTAG_GEO%5d.NMDI0019._T._T._T..?dimensionAtObservation=AllDimensions" TargetMode="External"/><Relationship Id="rId216" Type="http://schemas.openxmlformats.org/officeDocument/2006/relationships/hyperlink" Target="https://stats.pacificdata.org/vis?dq=A.SH_MED_DEN.._T._T._T._T._T.2262._Z._T&amp;pd=%2C&amp;frequency=A&amp;lc=en&amp;pg=0&amp;df%5bds%5d=SPC2&amp;df%5bid%5d=DF_SDG_03&amp;df%5bag%5d=SPC&amp;df%5bvs%5d=3.0&amp;ly%5bcl%5d=TIME_PERIOD&amp;to%5bTIME_PERIOD%5d=false" TargetMode="External"/><Relationship Id="rId237" Type="http://schemas.openxmlformats.org/officeDocument/2006/relationships/hyperlink" Target="https://data.un.org/Data.aspx?d=UNESCO&amp;f=series%3aTHAGE_1" TargetMode="External"/><Relationship Id="rId22" Type="http://schemas.openxmlformats.org/officeDocument/2006/relationships/hyperlink" Target="https://stats-nsi-stable.pacificdata.org/rest/data/SPC,DF_SDG_03,3.0/A.SH_FPL_MTMM.%5bTAG_GEO%5d.F.Y15T49._T..._T._Z.?dimensionAtObservation=AllDimensions" TargetMode="External"/><Relationship Id="rId43" Type="http://schemas.openxmlformats.org/officeDocument/2006/relationships/hyperlink" Target="https://stats-nsi-stable.pacificdata.org/rest/data/SPC,DF_DIGITAL_DEVELOPMENT,1.0/A.%5bTAG_GEO%5d.DD024?dimensionAtObservation=AllDimensions" TargetMode="External"/><Relationship Id="rId64" Type="http://schemas.openxmlformats.org/officeDocument/2006/relationships/hyperlink" Target="https://stats-nsi-stable.pacificdata.org/rest/data/SPC,DF_WBWGI,1.0/A.%5bTAG_GEO%5d.GE_EST?dimensionAtObservation=AllDimensions" TargetMode="External"/><Relationship Id="rId118" Type="http://schemas.openxmlformats.org/officeDocument/2006/relationships/hyperlink" Target="https://stats.pacificdata.org/vis?tm=sdg%2007&amp;pg=0&amp;hc%5bdataflowId%5d=DF_SDG_07&amp;df%5bds%5d=ds%3ASPC2&amp;df%5bid%5d=DF_SDG_07&amp;df%5bag%5d=SPC&amp;df%5bvs%5d=3.0&amp;pd=%2C&amp;dq=A.EG_ACS_ELEC.%5bTAG_GEO%5d..._T._T....&amp;ly%5bcl%5d=TIME_PERIOD" TargetMode="External"/><Relationship Id="rId139" Type="http://schemas.openxmlformats.org/officeDocument/2006/relationships/hyperlink" Target="https://stats.pacificdata.org/vis?tm=sdg%2016&amp;pg=0&amp;hc%5bdataflowId%5d=DF_SDG_16&amp;df%5bds%5d=ds%3ASPC2&amp;df%5bid%5d=DF_SDG_16&amp;df%5bag%5d=SPC&amp;df%5bvs%5d=3.0&amp;pd=%2C&amp;dq=A.SPC_16_7_2.%5bTAG_GEO%5d._T._T._T._T..._Z." TargetMode="External"/><Relationship Id="rId85" Type="http://schemas.openxmlformats.org/officeDocument/2006/relationships/hyperlink" Target="https://stats.pacificdata.org/vis?lc=en&amp;df%5bds%5d=ds%3ASPC2&amp;df%5bid%5d=DF_POP_COAST&amp;df%5bag%5d=SPC&amp;df%5bvs%5d=2.0&amp;dq=A.%5bTAG_GEO%5d.COASTALPOPRF.5KM&amp;pd=%2C&amp;ly%5brw%5d=TIME_PERIOD" TargetMode="External"/><Relationship Id="rId150" Type="http://schemas.openxmlformats.org/officeDocument/2006/relationships/hyperlink" Target="https://stats.pacificdata.org/vis?tm=expectancy&amp;pg=0&amp;df%5bds%5d=ds%3ASPC2&amp;df%5bid%5d=DF_VITAL&amp;df%5bag%5d=SPC&amp;df%5bvs%5d=1.0&amp;pd=%2C&amp;dq=A.%5bTAG_GEO%5d.LEB.M&amp;ly%5bcl%5d=TIME_PERIOD" TargetMode="External"/><Relationship Id="rId171" Type="http://schemas.openxmlformats.org/officeDocument/2006/relationships/hyperlink" Target="https://stats.pacificdata.org/vis?tm=tobacco%20use%20prevalence&amp;pg=0&amp;snb=4&amp;df%5bds%5d=ds%3ASPC2&amp;df%5bid%5d=DF_SDG_03&amp;df%5bag%5d=SPC&amp;df%5bvs%5d=3.0&amp;pd=2015%2C2022&amp;dq=A.SH_PRV_SMOK.........&amp;ly%5brw%5d=GEO_PICT%2CSEX%2CAGE&amp;ly%5bcl%5d=TIME_PERIOD" TargetMode="External"/><Relationship Id="rId192" Type="http://schemas.openxmlformats.org/officeDocument/2006/relationships/hyperlink" Target="https://stats.pacificdata.org/vis?fs%5b0%5d=Development%20indicators%2C0%7CSustainable%20Development%20Goals%23SDG%23&amp;pg=10&amp;fc=Development%20indicators&amp;bp=true&amp;snb=18&amp;df%5bds%5d=ds%3ASPC2&amp;df%5bid%5d=DF_SDG_16&amp;df%5bag%5d=SPC&amp;df%5bvs%5d=3.0&amp;pd=%2C&amp;dq=A.SG_DMK_PARLYP_LC.........&amp;ly%5brw%5d=GEO_PICT&amp;ly%5bcl%5d=TIME_PERIOD&amp;ly%5brs%5d=INDICATOR&amp;to%5bTIME_PERIOD%5d=false" TargetMode="External"/><Relationship Id="rId206" Type="http://schemas.openxmlformats.org/officeDocument/2006/relationships/hyperlink" Target="https://stats.pacificdata.org/vis?tm=proficiency&amp;pg=0&amp;snb=4&amp;df%5bds%5d=ds%3ASPC2&amp;df%5bid%5d=DF_SDG_04&amp;df%5bag%5d=SPC&amp;df%5bvs%5d=3.0&amp;pd=%2C&amp;dq=A.SE_TOT_PRFL..M._T._T._T.1_g7%2B1_y6..SKILL_MIN_LTRCY.&amp;ly%5brw%5d=GEO_PICT%2CEDUCATION%2CCOMPOSITE_BREAKDOWN&amp;ly%5bcl%5d=TIME_PERIOD&amp;ly%5brs%5d=INDICATOR&amp;to%5bTIME_PERIOD%5d=false" TargetMode="External"/><Relationship Id="rId227"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HEA&amp;df%5bag%5d=SPC&amp;df%5bvs%5d=1.0&amp;pd=%2C&amp;dq=A..NMDI0145._T._T._T..&amp;ly%5brw%5d=GEO_PICT&amp;ly%5bcl%5d=TIME_PERIOD&amp;to%5bTIME_PERIOD%5d=false" TargetMode="External"/><Relationship Id="rId248" Type="http://schemas.openxmlformats.org/officeDocument/2006/relationships/hyperlink" Target="https://stats-sdmx-disseminate.pacificdata.org/rest/data/SPC,DF_SDG_11,4.3/A.G.VC_DSR_GDPLS............?dimensionAtObservation=AllDimensions" TargetMode="External"/><Relationship Id="rId12" Type="http://schemas.openxmlformats.org/officeDocument/2006/relationships/hyperlink" Target="https://stats-nsi-stable.pacificdata.org/rest/data/SPC,DF_SDG_03,3.0/.SPC_3_8_1.%5bTAG_GEO%5d........?dimensionAtObservation=AllDimensions" TargetMode="External"/><Relationship Id="rId33" Type="http://schemas.openxmlformats.org/officeDocument/2006/relationships/hyperlink" Target="https://stats-sdmx-disseminate.pacificdata.org/rest/data/SPC,DF_SDG_01,4.3/A.G.SI_POV_NAHC.._T._T._T........?dimensionAtObservation=AllDimensions" TargetMode="External"/><Relationship Id="rId108" Type="http://schemas.openxmlformats.org/officeDocument/2006/relationships/hyperlink" Target="https://stats.pacificdata.org/vis?tm=wb%20wdi&amp;pg=0&amp;df%5bds%5d=ds%3ASPC2&amp;df%5bid%5d=DF_WBWDI&amp;df%5bag%5d=SPC&amp;df%5bvs%5d=1.0&amp;pd=%2C&amp;dq=A.%5bTAG_GEO%5d.SI_POV_GINI&amp;ly%5bcl%5d=TIME_PERIOD" TargetMode="External"/><Relationship Id="rId129" Type="http://schemas.openxmlformats.org/officeDocument/2006/relationships/hyperlink" Target="https://stats.pacificdata.org/vis?tm=sdg%2015&amp;pg=0&amp;hc%5bdataflowId%5d=DF_SDG_15&amp;df%5bds%5d=ds%3ASPC2&amp;df%5bid%5d=DF_SDG_15&amp;df%5bag%5d=SPC&amp;df%5bvs%5d=3.0&amp;pd=%2C&amp;dq=A.ER_PTD_TERR.%5bTAG_GEO%5d........&amp;ly%5bcl%5d=TIME_PERIOD" TargetMode="External"/><Relationship Id="rId54" Type="http://schemas.openxmlformats.org/officeDocument/2006/relationships/hyperlink" Target="https://stats-nsi-stable.pacificdata.org/rest/data/SPC,DF_SDG_11,3.0/A.VC_DSR_MISS.%5bTAG_GEO%5d..._T.....?dimensionAtObservation=AllDimensions" TargetMode="External"/><Relationship Id="rId75" Type="http://schemas.openxmlformats.org/officeDocument/2006/relationships/hyperlink" Target="https://stats-nsi-stable.pacificdata.org/rest/data/SPC,DF_SDG_05,3.0/A.IC_GEN_MGTL.%5bTAG_GEO%5d._T._T._T..._T._Z.?dimensionAtObservation=AllDimensions" TargetMode="External"/><Relationship Id="rId96" Type="http://schemas.openxmlformats.org/officeDocument/2006/relationships/hyperlink" Target="https://stats.pacificdata.org/vis?lc=en&amp;tm=sdg%20health&amp;pg=0&amp;df%5bds%5d=ds%3ASPC2&amp;df%5bid%5d=DF_SDG_03&amp;df%5bag%5d=SPC&amp;df%5bvs%5d=3.0&amp;pd=%2C&amp;dq=A.SH_FPL_MTMM.%5bTAG_GEO%5d.F.Y15T49._T..._T._Z." TargetMode="External"/><Relationship Id="rId140" Type="http://schemas.openxmlformats.org/officeDocument/2006/relationships/hyperlink" Target="https://stats.pacificdata.org/vis?tm=teenage%20fertility&amp;pg=0&amp;df%5bds%5d=ds%3ASPC2&amp;df%5bid%5d=DF_VITAL&amp;df%5bag%5d=SPC&amp;df%5bvs%5d=1.0&amp;pd=%2C&amp;dq=A.%5bTAG_GEO%5d.TNFR._T&amp;ly%5bcl%5d=TIME_PERIOD" TargetMode="External"/><Relationship Id="rId161" Type="http://schemas.openxmlformats.org/officeDocument/2006/relationships/hyperlink" Target="https://stats-nsi-stable.pacificdata.org/rest/data/SPC,DF_EMPRATES,1.0/A.%5bTAG_GEO%5d.LFPARTRATE.M._T._T._T?dimensionAtObservation=AllDimensions" TargetMode="External"/><Relationship Id="rId182" Type="http://schemas.openxmlformats.org/officeDocument/2006/relationships/hyperlink" Target="https://stats-sdmx-disseminate.pacificdata.org/rest/data/SPC,DF_SDG_17,3.0/A.SG_PLN_RECNDI.%5bTAG_GEO%5d._T._T._T...._Z.?dimensionAtObservation=AllDimensions" TargetMode="External"/><Relationship Id="rId217" Type="http://schemas.openxmlformats.org/officeDocument/2006/relationships/hyperlink" Target="https://stats.pacificdata.org/vis?fs%5b0%5d=Development%20indicators%2C0%7CSustainable%20Development%20Goals%23SDG%23&amp;pg=10&amp;fc=Development%20indicators&amp;bp=true&amp;snb=18&amp;df%5bds%5d=ds%3ASPC2&amp;df%5bid%5d=DF_SDG_16&amp;df%5bag%5d=SPC&amp;df%5bvs%5d=3.0&amp;pd=%2C&amp;dq=A.VC_PRS_UNSNT..._T.._T..._Z.&amp;ly%5brw%5d=GEO_PICT&amp;ly%5bcl%5d=TIME_PERIOD&amp;ly%5brs%5d=INDICATOR&amp;to%5bTIME_PERIOD%5d=false" TargetMode="External"/><Relationship Id="rId6" Type="http://schemas.openxmlformats.org/officeDocument/2006/relationships/hyperlink" Target="https://stats-nsi-stable.pacificdata.org/rest/data/SPC,DF_HHCOUNTS,1.0/A.%5bTAG_GEO%5d.HHSZ?dimensionAtObservation=AllDimensions" TargetMode="External"/><Relationship Id="rId238" Type="http://schemas.openxmlformats.org/officeDocument/2006/relationships/hyperlink" Target="https://databrowser.uis.unesco.org/view" TargetMode="External"/><Relationship Id="rId23" Type="http://schemas.openxmlformats.org/officeDocument/2006/relationships/hyperlink" Target="https://stats-nsi-stable.pacificdata.org/rest/data/SPC,DF_VITAL,1.0/A.%5bTAG_GEO%5d.LEB.M?dimensionAtObservation=AllDimensions" TargetMode="External"/><Relationship Id="rId119" Type="http://schemas.openxmlformats.org/officeDocument/2006/relationships/hyperlink" Target="https://stats.pacificdata.org/vis?tm=sdg%2007&amp;pg=0&amp;hc%5bdataflowId%5d=DF_SDG_07&amp;df%5bds%5d=ds%3ASPC2&amp;df%5bid%5d=DF_SDG_07&amp;df%5bag%5d=SPC&amp;df%5bvs%5d=3.0&amp;pd=%2C&amp;dq=A.EG_EGY_CLEAN.%5bTAG_GEO%5d..._T._T...." TargetMode="External"/><Relationship Id="rId44" Type="http://schemas.openxmlformats.org/officeDocument/2006/relationships/hyperlink" Target="https://stats-nsi-stable.pacificdata.org/rest/data/SPC,DF_SDG_17,3.0/A.SPC_17_3_1.%5bTAG_GEO%5d._T._T._T...._Z.?dimensionAtObservation=AllDimensions" TargetMode="External"/><Relationship Id="rId65" Type="http://schemas.openxmlformats.org/officeDocument/2006/relationships/hyperlink" Target="https://stats-nsi-stable.pacificdata.org/rest/data/SPC,DF_WBWGI,1.0/A.%5bTAG_GEO%5d.CC_EST?dimensionAtObservation=AllDimensions" TargetMode="External"/><Relationship Id="rId86" Type="http://schemas.openxmlformats.org/officeDocument/2006/relationships/hyperlink" Target="https://stats.pacificdata.org/vis?lc=en&amp;df%5bds%5d=ds%3ASPC2&amp;df%5bid%5d=DF_POP_DENSITY&amp;df%5bag%5d=SPC&amp;df%5bvs%5d=1.0&amp;dq=A.%5bTAG_GEO%5d.LANDAREA&amp;pd=%2C&amp;ly%5brw%5d=TIME_PERIOD" TargetMode="External"/><Relationship Id="rId130" Type="http://schemas.openxmlformats.org/officeDocument/2006/relationships/hyperlink" Target="https://stats.pacificdata.org/vis?tm=EEZ&amp;pg=0&amp;df%5bds%5d=ds%3ASPC2&amp;df%5bid%5d=DF_KEYFACTS&amp;df%5bag%5d=SPC&amp;df%5bvs%5d=1.0&amp;pd=%2C&amp;dq=A.%5bTAG_GEO%5d.EEZ" TargetMode="External"/><Relationship Id="rId151" Type="http://schemas.openxmlformats.org/officeDocument/2006/relationships/hyperlink" Target="https://stats.pacificdata.org/vis?lc=en&amp;df%5bds%5d=ds%3ASPC2&amp;df%5bid%5d=DF_POP_COAST&amp;df%5bag%5d=SPC&amp;df%5bvs%5d=2.0&amp;dq=A.%5bTAG_GEO%5d.COASTALPOPRF.10KM&amp;pd=%2C&amp;ly%5brw%5d=TIME_PERIOD" TargetMode="External"/><Relationship Id="rId172" Type="http://schemas.openxmlformats.org/officeDocument/2006/relationships/hyperlink" Target="https://stats-sdmx-disseminate.pacificdata.org/rest/data/SPC,DF_SDG_03,3.0/A.SH_PRV_SMOK.%5bTAG_GEO%5d._T._T._T..._T._Z.?dimensionAtObservation=AllDimensions" TargetMode="External"/><Relationship Id="rId193" Type="http://schemas.openxmlformats.org/officeDocument/2006/relationships/hyperlink" Target="https://stats.pacificdata.org/vis?fs%5b0%5d=Development%20indicators%2C0%7CSustainable%20Development%20Goals%23SDG%23&amp;pg=10&amp;fc=Development%20indicators&amp;bp=true&amp;snb=18&amp;df%5bds%5d=ds%3ASPC2&amp;df%5bid%5d=DF_SDG_16&amp;df%5bag%5d=SPC&amp;df%5bvs%5d=3.0&amp;pd=%2C&amp;dq=A.SG_DMK_PARLYP_UC.........&amp;ly%5brw%5d=GEO_PICT&amp;ly%5bcl%5d=TIME_PERIOD&amp;ly%5brs%5d=INDICATOR&amp;to%5bTIME_PERIOD%5d=false" TargetMode="External"/><Relationship Id="rId207" Type="http://schemas.openxmlformats.org/officeDocument/2006/relationships/hyperlink" Target="https://stats-sdmx-disseminate.pacificdata.org/rest/data/SPC,DF_SDG_04,3.0/A.SE_TOT_PRFL..M._T._T._T.1_g7+1_y6..SKILL_MIN_LTRCY.?dimensionAtObservation=AllDimensions" TargetMode="External"/><Relationship Id="rId228" Type="http://schemas.openxmlformats.org/officeDocument/2006/relationships/hyperlink" Target="https://stats-sdmx-disseminate.pacificdata.org/rest/data/SPC,DF_NMDI_HEA,1.0/A..NMDI0145._T._T._T..?dimensionAtObservation=AllDimensions" TargetMode="External"/><Relationship Id="rId249" Type="http://schemas.openxmlformats.org/officeDocument/2006/relationships/hyperlink" Target="https://stats.pacificdata.org/vis?fs%5b0%5d=Development%20indicators,0%7CSustainable%20Development%20Goals%23SDG%23&amp;pg=10&amp;fc=Development%20indicators&amp;bp=true&amp;snb=18&amp;df%5bds%5d=ds%3ASPC2&amp;df%5bid%5d=DF_SDG_11&amp;df%5bag%5d=SPC&amp;df%5bvs%5d=4.3&amp;dq=A.G.VC_DSR_LSGP............&amp;pd=,&amp;to%5bTIME_PERIOD%5d=false&amp;isAvailabilityDisabled=false&amp;page=0" TargetMode="External"/><Relationship Id="rId13" Type="http://schemas.openxmlformats.org/officeDocument/2006/relationships/hyperlink" Target="https://stats-nsi-stable.pacificdata.org/rest/data/SPC,DF_NMDI_HEA,1.0/A.%5bTAG_GEO%5d.NMDI0131._T._T._T..?dimensionAtObservation=AllDimensions" TargetMode="External"/><Relationship Id="rId109" Type="http://schemas.openxmlformats.org/officeDocument/2006/relationships/hyperlink" Target="https://stats.pacificdata.org/vis?tm=decent%20work&amp;pg=0&amp;df%5bds%5d=ds%3ASPC2&amp;df%5bid%5d=DF_SDG_08&amp;df%5bag%5d=SPC&amp;df%5bvs%5d=3.0&amp;pd=%2C&amp;dq=A.SL_TLF_NEET.%5bTAG_GEO%5d._T._T._T..._T.._T&amp;lycl=TIME_PERIOD" TargetMode="External"/><Relationship Id="rId34" Type="http://schemas.openxmlformats.org/officeDocument/2006/relationships/hyperlink" Target="https://stats-nsi-stable.pacificdata.org/rest/data/SPC,DF_SDG_08,3.0/A.SL_EMP_EARN.%5bTAG_GEO%5d._T._T._T..._T.._T?dimensionAtObservation=AllDimensions" TargetMode="External"/><Relationship Id="rId55" Type="http://schemas.openxmlformats.org/officeDocument/2006/relationships/hyperlink" Target="https://stats-nsi-stable.pacificdata.org/rest/data/SPC,DF_POP_URBAN,1.0/A.%5bTAG_GEO%5d.POPRFCOU.R?dimensionAtObservation=AllDimensions" TargetMode="External"/><Relationship Id="rId76" Type="http://schemas.openxmlformats.org/officeDocument/2006/relationships/hyperlink" Target="https://stats-nsi-stable.pacificdata.org/rest/data/SPC,DF_SDG_10,3.0/A.DC_TRF_TOTL.%5bTAG_GEO%5d......._Z.?dimensionAtObservation=AllDimensions" TargetMode="External"/><Relationship Id="rId97" Type="http://schemas.openxmlformats.org/officeDocument/2006/relationships/hyperlink" Target="https://stats.pacificdata.org/vis?tm=expectancy&amp;pg=0&amp;df%5bds%5d=ds%3ASPC2&amp;df%5bid%5d=DF_VITAL&amp;df%5bag%5d=SPC&amp;df%5bvs%5d=1.0&amp;pd=%2C&amp;dq=A.%5bTAG_GEO%5d.LEB.F&amp;ly%5bcl%5d=TIME_PERIOD" TargetMode="External"/><Relationship Id="rId120" Type="http://schemas.openxmlformats.org/officeDocument/2006/relationships/hyperlink" Target="https://stats.pacificdata.org/vis?tm=sdg%2007&amp;pg=0&amp;hc%5bdataflowId%5d=DF_SDG_07&amp;df%5bds%5d=ds%3ASPC2&amp;df%5bid%5d=DF_SDG_07&amp;df%5bag%5d=SPC&amp;df%5bvs%5d=3.0&amp;pd=%2C&amp;dq=A.EG_EGY_PRIM.%5bTAG_GEO%5d..._T._T....&amp;ly%5bcl%5d=TIME_PERIOD" TargetMode="External"/><Relationship Id="rId141" Type="http://schemas.openxmlformats.org/officeDocument/2006/relationships/hyperlink" Target="https://stats.pacificdata.org/vis?tm=gender&amp;pg=0&amp;df%5bds%5d=ds%3ASPC2&amp;df%5bid%5d=DF_SDG_05&amp;df%5bag%5d=SPC&amp;df%5bvs%5d=3.0&amp;pd=%2C&amp;dq=A.SPC_5_2_2.%5bTAG_GEO%5d.F.Y15T999._T..._T._Z." TargetMode="External"/><Relationship Id="rId7" Type="http://schemas.openxmlformats.org/officeDocument/2006/relationships/hyperlink" Target="https://stats-nsi-stable.pacificdata.org/rest/data/SPC,DF_POP_DENSITY,1.0/A.%5bTAG_GEO%5d.LANDAREA?dimensionAtObservation=AllDimensions" TargetMode="External"/><Relationship Id="rId162" Type="http://schemas.openxmlformats.org/officeDocument/2006/relationships/hyperlink" Target="https://stats.pacificdata.org/vis?fs%5b0%5d=Topic%2C0%7CSocial%23SOC%23&amp;pg=0&amp;fc=Topic&amp;df%5bds%5d=ds%3ASPC2&amp;df%5bid%5d=DF_EMPRATES&amp;df%5bag%5d=SPC&amp;df%5bvs%5d=1.0&amp;pd=%2C&amp;dq=A.%5bTAG_GEO%5d.LFPARTRATE.F._T._T._T" TargetMode="External"/><Relationship Id="rId183" Type="http://schemas.openxmlformats.org/officeDocument/2006/relationships/hyperlink" Target="https://stats-sdmx-disseminate.pacificdata.org/rest/data/SPC,DF_SDG_15,3.0/A.ER_RSK_LST.%5bTAG_GEO%5d........?dimensionAtObservation=AllDimensions" TargetMode="External"/><Relationship Id="rId218" Type="http://schemas.openxmlformats.org/officeDocument/2006/relationships/hyperlink" Target="https://stats-sdmx-disseminate.pacificdata.org/rest/data/SPC,DF_SDG_16,3.0/A.VC_PRS_UNSNT..._T.._T..._Z.?dimensionAtObservation=AllDimensions" TargetMode="External"/><Relationship Id="rId239" Type="http://schemas.openxmlformats.org/officeDocument/2006/relationships/hyperlink" Target="https://databrowser.uis.unesco.org/view" TargetMode="External"/><Relationship Id="rId250" Type="http://schemas.openxmlformats.org/officeDocument/2006/relationships/hyperlink" Target="https://stats-sdmx-disseminate.pacificdata.org/rest/data/SPC,DF_SDG_11,4.3/A.G.VC_DSR_LSGP............?dimensionAtObservation=AllDimensions" TargetMode="External"/><Relationship Id="rId24" Type="http://schemas.openxmlformats.org/officeDocument/2006/relationships/hyperlink" Target="https://stats-nsi-stable.pacificdata.org/rest/data/SPC,DF_VITAL,1.0/A.%5bTAG_GEO%5d.LEB.F?dimensionAtObservation=AllDimensions" TargetMode="External"/><Relationship Id="rId45" Type="http://schemas.openxmlformats.org/officeDocument/2006/relationships/hyperlink" Target="https://stats-nsi-stable.pacificdata.org/rest/data/SPC,DF_NMDI_FIS,1.0/A.%5bTAG_GEO%5d.NMDI0057._T._T._T..?dimensionAtObservation=AllDimensions" TargetMode="External"/><Relationship Id="rId66" Type="http://schemas.openxmlformats.org/officeDocument/2006/relationships/hyperlink" Target="https://stats-nsi-stable.pacificdata.org/rest/data/SPC,DF_WBWGI,1.0/A.%5bTAG_GEO%5d.RQ_EST?dimensionAtObservation=AllDimensions" TargetMode="External"/><Relationship Id="rId87" Type="http://schemas.openxmlformats.org/officeDocument/2006/relationships/hyperlink" Target="https://stats.pacificdata.org/vis?lc=en&amp;df%5bds%5d=ds%3ASPC2&amp;df%5bid%5d=DF_WBWDI&amp;df%5bag%5d=SPC&amp;df%5bvs%5d=1.0&amp;dq=A.%5bTAG_GEO%5d.AG_LND_FRST_ZS&amp;pd=%2C&amp;ly%5brw%5d=TIME_PERIOD" TargetMode="External"/><Relationship Id="rId110" Type="http://schemas.openxmlformats.org/officeDocument/2006/relationships/hyperlink" Target="https://stats.pacificdata.org/vis?tm=tourism&amp;pg=0&amp;df%5bds%5d=ds%3ASPC2&amp;df%5bid%5d=DF_TOURISM_EARNINGS&amp;df%5bag%5d=SPC&amp;df%5bvs%5d=1.0&amp;pd=%2C&amp;dq=A.%5bTAG_GEO%5d.EARN2GDP.USD&amp;ly%5bcl%5d=TIME_PERIOD" TargetMode="External"/><Relationship Id="rId131" Type="http://schemas.openxmlformats.org/officeDocument/2006/relationships/hyperlink" Target="https://stats.pacificdata.org/vis?tm=sdg%20water&amp;pg=0&amp;df%5bds%5d=ds%3ASPC2&amp;df%5bid%5d=DF_SDG_14&amp;df%5bag%5d=SPC&amp;df%5bvs%5d=3.0&amp;pd=%2C&amp;dq=A.ER_MRN_MARIN.%5bTAG_GEO%5d......._Z.&amp;ly%5bcl%5d=TIME_PERIOD" TargetMode="External"/><Relationship Id="rId152" Type="http://schemas.openxmlformats.org/officeDocument/2006/relationships/hyperlink" Target="https://stats.pacificdata.org/vis?tm=education&amp;pg=0&amp;df%5bds%5d=ds%3ASPC2&amp;df%5bid%5d=DF_SDG_04&amp;df%5bag%5d=SPC&amp;df%5bvs%5d=3.0&amp;pd=%2C&amp;dq=A.SE_ADT_EDUCTRN.%5bTAG_GEO%5d._T._T._T._T._T._T._Z." TargetMode="External"/><Relationship Id="rId173" Type="http://schemas.openxmlformats.org/officeDocument/2006/relationships/hyperlink" Target="https://stats.pacificdata.org/vis?tm=contraceptive&amp;pg=0&amp;snb=6&amp;df%5bds%5d=ds%3ASPC2&amp;df%5bid%5d=DF_NMDI_HEA&amp;df%5bag%5d=SPC&amp;df%5bvs%5d=1.0&amp;pd=%2C&amp;dq=A..NMDI0116._T._T._T..&amp;ly%5brw%5d=GEO_PICT&amp;ly%5bcl%5d=TIME_PERIOD" TargetMode="External"/><Relationship Id="rId194" Type="http://schemas.openxmlformats.org/officeDocument/2006/relationships/hyperlink" Target="https://stats.pacificdata.org/vis?tm=transition%20rate&amp;pg=0&amp;snb=2&amp;df%5bds%5d=ds%3ASPC2&amp;df%5bid%5d=DF_NMDI_EDU&amp;df%5bag%5d=SPC&amp;df%5bvs%5d=1.0&amp;pd=%2C&amp;dq=A..NMDI0431._T._T._T..&amp;ly%5brw%5d=GEO_PICT&amp;ly%5bcl%5d=TIME_PERIOD&amp;to%5bTIME_PERIOD%5d=false" TargetMode="External"/><Relationship Id="rId208" Type="http://schemas.openxmlformats.org/officeDocument/2006/relationships/hyperlink" Target="https://stats.pacificdata.org/vis?tm=proficiency&amp;pg=0&amp;snb=4&amp;df%5bds%5d=ds%3ASPC2&amp;df%5bid%5d=DF_SDG_04&amp;df%5bag%5d=SPC&amp;df%5bvs%5d=3.0&amp;pd=%2C&amp;dq=A.SE_TOT_PRFL.._T._T._T._T.1_g7%2B1_y6..SKILL_MIN_NMRCY.&amp;ly%5brw%5d=GEO_PICT%2CEDUCATION%2CCOMPOSITE_BREAKDOWN&amp;ly%5bcl%5d=TIME_PERIOD&amp;ly%5brs%5d=INDICATOR&amp;to%5bTIME_PERIOD%5d=false" TargetMode="External"/><Relationship Id="rId229"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HEA&amp;df%5bag%5d=SPC&amp;df%5bvs%5d=1.0&amp;pd=%2C&amp;dq=A..NMDI0146._T._T._T..&amp;ly%5brw%5d=GEO_PICT&amp;ly%5bcl%5d=TIME_PERIOD&amp;to%5bTIME_PERIOD%5d=false" TargetMode="External"/><Relationship Id="rId240" Type="http://schemas.openxmlformats.org/officeDocument/2006/relationships/hyperlink" Target="https://stats.pacificdata.org/vis?tm=retirement&amp;pg=0&amp;snb=3&amp;df%5bds%5d=ds%3ASPC2&amp;df%5bid%5d=DF_SDG_01&amp;df%5bag%5d=SPC&amp;df%5bvs%5d=3.0&amp;dq=A.SI_COV_PENSN..M._T._T._T._T...&amp;pd=2016%2C2023&amp;to%5bTIME_PERIOD%5d=false&amp;ly%5bcl%5d=TIME_PERIOD&amp;ly%5brw%5d=GEO_PICT" TargetMode="External"/><Relationship Id="rId14" Type="http://schemas.openxmlformats.org/officeDocument/2006/relationships/hyperlink" Target="https://stats-nsi-stable.pacificdata.org/rest/data/SPC,DF_NMDI_EDU,1.0/A.%5bTAG_GEO%5d.NMDI0429._T._T._T..?dimensionAtObservation=AllDimensions" TargetMode="External"/><Relationship Id="rId35" Type="http://schemas.openxmlformats.org/officeDocument/2006/relationships/hyperlink" Target="https://stats-nsi-stable.pacificdata.org/rest/data/SPC,DF_SDG_08,3.0/A.SL_TLF_UEM.%5bTAG_GEO%5d._T._T._T..._T.._T?dimensionAtObservation=AllDimensions" TargetMode="External"/><Relationship Id="rId56" Type="http://schemas.openxmlformats.org/officeDocument/2006/relationships/hyperlink" Target="https://stats-nsi-stable.pacificdata.org/rest/data/SPC,DF_WBWDI,1.0/A.%5bTAG_GEO%5d.TM_VAL_FOOD_ZS_UN?dimensionAtObservation=AllDimensions" TargetMode="External"/><Relationship Id="rId77" Type="http://schemas.openxmlformats.org/officeDocument/2006/relationships/hyperlink" Target="https://stats.pacificdata.org/vis?lc=en&amp;df%5bds%5d=ds%3ASPC2&amp;df%5bid%5d=DF_POP_PROJ&amp;df%5bag%5d=SPC&amp;dq=A..MIDYEARPOPEST._T._T&amp;pd=,&amp;ly%5brw%5d=TIME_PERIOD&amp;to%5bTIME_PERIOD%5d=false" TargetMode="External"/><Relationship Id="rId100" Type="http://schemas.openxmlformats.org/officeDocument/2006/relationships/hyperlink" Target="https://stats.pacificdata.org/vis?tm=education&amp;pg=0&amp;df%5bds%5d=ds%3ASPC2&amp;df%5bid%5d=DF_SDG_04&amp;df%5bag%5d=SPC&amp;df%5bvs%5d=3.0&amp;pd=%2C&amp;dq=A.SE_TOT_GPI.%5bTAG_GEO%5d._T._T._T._T._T._T._Z." TargetMode="External"/><Relationship Id="rId8" Type="http://schemas.openxmlformats.org/officeDocument/2006/relationships/hyperlink" Target="https://stats-nsi-stable.pacificdata.org/rest/data/SPC,DF_WBWDI,1.0/A.%5bTAG_GEO%5d.AG_LND_FRST_ZS?dimensionAtObservation=AllDimensions" TargetMode="External"/><Relationship Id="rId98" Type="http://schemas.openxmlformats.org/officeDocument/2006/relationships/hyperlink" Target="https://stats.pacificdata.org/vis?tm=hunger&amp;pg=0&amp;df%5bds%5d=ds%3ASPC2&amp;df%5bid%5d=DF_SDG_02&amp;df%5bag%5d=SPC&amp;df%5bvs%5d=3.0&amp;pd=%2C&amp;dq=A.SH_STA_STNT.%5bTAG_GEO%5d._T.Y00T04......&amp;ly%5bcl%5d=TIME_PERIOD" TargetMode="External"/><Relationship Id="rId121" Type="http://schemas.openxmlformats.org/officeDocument/2006/relationships/hyperlink" Target="https://stats.pacificdata.org/vis?tm=renewable&amp;pg=0&amp;df%5bds%5d=ds%3ASPC2&amp;df%5bid%5d=DF_WBWDI&amp;df%5bag%5d=SPC&amp;df%5bvs%5d=1.0&amp;pd=%2C&amp;dq=A.%5bTAG_GEO%5d.EG_ELC_RNEW_ZS&amp;ly%5bcl%5d=TIME_PERIOD" TargetMode="External"/><Relationship Id="rId142" Type="http://schemas.openxmlformats.org/officeDocument/2006/relationships/hyperlink" Target="https://stats.pacificdata.org/vis?dq=A.%5bTAG_GEO%5d.SL_TLF_CACT_FM_ZS&amp;pd=%2C&amp;frequency=A&amp;lc=en&amp;pg=0&amp;df%5bds%5d=ds%3ASPC2&amp;df%5bid%5d=DF_WBWDI&amp;df%5bag%5d=SPC&amp;df%5bvs%5d=1.0&amp;ly%5bcl%5d=TIME_PERIOD&amp;tm=wb%20" TargetMode="External"/><Relationship Id="rId163" Type="http://schemas.openxmlformats.org/officeDocument/2006/relationships/hyperlink" Target="https://stats-nsi-stable.pacificdata.org/rest/data/SPC,DF_EMPRATES,1.0/A.%5bTAG_GEO%5d.LFPARTRATE.F._T._T._T?dimensionAtObservation=AllDimensions" TargetMode="External"/><Relationship Id="rId184" Type="http://schemas.openxmlformats.org/officeDocument/2006/relationships/hyperlink" Target="https://stats.pacificdata.org/vis?lc=en&amp;df%5bds%5d=SPC2&amp;df%5bid%5d=DF_TRADE_FOOD&amp;df%5bag%5d=SPC&amp;df%5bvs%5d=1.0&amp;pd=%2C&amp;dq=A.Q._T%2BAS%2BCK%2BFJ%2BFM%2BGU%2BKI%2BMH%2BMP%2BNC%2BNR%2BNU%2BPF%2BPG%2BPN%2BPW%2BSB%2BTK%2BTO%2BTV%2BVU%2BWF%2BWS._T.03&amp;ly%5bcl%5d=TIME_PERIOD&amp;to%5bTIME_PERIOD%5d=false" TargetMode="External"/><Relationship Id="rId219" Type="http://schemas.openxmlformats.org/officeDocument/2006/relationships/hyperlink" Target="https://stats.pacificdata.org/vis?fs%5b0%5d=Development%20indicators%2C0%7CSustainable%20Development%20Goals%23SDG%23&amp;pg=10&amp;fc=Development%20indicators&amp;bp=true&amp;snb=18&amp;df%5bds%5d=ds%3ASPC2&amp;df%5bid%5d=DF_SDG_16&amp;df%5bag%5d=SPC&amp;df%5bvs%5d=3.0&amp;pd=%2C&amp;dq=A.VC_IHR_PSRC.._T.._T._T..._Z.&amp;ly%5brw%5d=GEO_PICT&amp;ly%5bcl%5d=TIME_PERIOD&amp;ly%5brs%5d=INDICATOR&amp;to%5bTIME_PERIOD%5d=false" TargetMode="External"/><Relationship Id="rId230" Type="http://schemas.openxmlformats.org/officeDocument/2006/relationships/hyperlink" Target="https://stats-sdmx-disseminate.pacificdata.org/rest/data/SPC,DF_NMDI_HEA,1.0/A..NMDI0146._T._T._T..?dimensionAtObservation=AllDimensions" TargetMode="External"/><Relationship Id="rId251" Type="http://schemas.openxmlformats.org/officeDocument/2006/relationships/printerSettings" Target="../printerSettings/printerSettings3.bin"/><Relationship Id="rId25" Type="http://schemas.openxmlformats.org/officeDocument/2006/relationships/hyperlink" Target="https://stats-nsi-stable.pacificdata.org/rest/data/SPC,DF_SDG_02,3.0/A.SH_STA_STNT.%5bTAG_GEO%5d._T.Y00T04......?dimensionAtObservation=AllDimensions" TargetMode="External"/><Relationship Id="rId46" Type="http://schemas.openxmlformats.org/officeDocument/2006/relationships/hyperlink" Target="https://stats-nsi-stable.pacificdata.org/rest/data/SPC,DF_NMDI_FIS,1.0/A.%5bTAG_GEO%5d.NMDI0059._T._T._T..?dimensionAtObservation=AllDimensions" TargetMode="External"/><Relationship Id="rId67" Type="http://schemas.openxmlformats.org/officeDocument/2006/relationships/hyperlink" Target="https://stats-nsi-stable.pacificdata.org/rest/data/SPC,DF_WBWGI,1.0/A.%5bTAG_GEO%5d.PV_EST?dimensionAtObservation=AllDimensions" TargetMode="External"/><Relationship Id="rId88" Type="http://schemas.openxmlformats.org/officeDocument/2006/relationships/hyperlink" Target="https://stats.pacificdata.org/vis?lc=en&amp;df%5bds%5d=ds%3ASPC2&amp;df%5bid%5d=DF_WBWDI&amp;df%5bag%5d=SPC&amp;df%5bvs%5d=1.0&amp;dq=A.%5bTAG_GEO%5d.AG_LND_AGRI_ZS&amp;pd=%2C&amp;ly%5brw%5d=TIME_PERIOD" TargetMode="External"/><Relationship Id="rId111" Type="http://schemas.openxmlformats.org/officeDocument/2006/relationships/hyperlink" Target="https://stats.pacificdata.org/vis?tm=tourism&amp;pg=0&amp;df%5bds%5d=ds%3ASPC2&amp;df%5bid%5d=DF_TOURISM_EARNINGS&amp;df%5bag%5d=SPC&amp;df%5bvs%5d=1.0&amp;pd=%2C&amp;dq=A.%5bTAG_GEO%5d.EARN2VIS.USD&amp;ly%5bcl%5d=TIME_PERIOD" TargetMode="External"/><Relationship Id="rId132" Type="http://schemas.openxmlformats.org/officeDocument/2006/relationships/hyperlink" Target="https://stats.pacificdata.org/vis?tm=sdg%20water&amp;pg=0&amp;df%5bds%5d=ds%3ASPC2&amp;df%5bid%5d=DF_SDG_14&amp;df%5bag%5d=SPC&amp;df%5bvs%5d=3.0&amp;pd=%2C&amp;dq=A.SPC_14_7_1.%5bTAG_GEO%5d......._Z.&amp;ly%5bcl%5d=TIME_PERIOD" TargetMode="External"/><Relationship Id="rId153" Type="http://schemas.openxmlformats.org/officeDocument/2006/relationships/hyperlink" Target="https://stats.pacificdata.org/vis?tm=government&amp;pg=0&amp;df%5bds%5d=ds%3ASPC2&amp;df%5bid%5d=DF_EGOV&amp;df%5bag%5d=SPC&amp;df%5bvs%5d=1.0&amp;pd=%2C&amp;dq=A.%5bTAG_GEO%5d.EGI&amp;ly%5bcl%5d=TIME_PERIOD" TargetMode="External"/><Relationship Id="rId174" Type="http://schemas.openxmlformats.org/officeDocument/2006/relationships/hyperlink" Target="https://stats.pacificdata.org/vis?tm=adol&amp;pg=0&amp;snb=5&amp;df%5bds%5d=ds%3ASPC2&amp;df%5bid%5d=DF_SDG_03&amp;df%5bag%5d=SPC&amp;df%5bvs%5d=3.0&amp;pd=%2C&amp;dq=A.SP_DYN_ADKL..F.Y15T19._T..._T._Z.&amp;ly%5brw%5d=GEO_PICT&amp;ly%5bcl%5d=TIME_PERIOD" TargetMode="External"/><Relationship Id="rId195" Type="http://schemas.openxmlformats.org/officeDocument/2006/relationships/hyperlink" Target="https://stats-sdmx-disseminate.pacificdata.org/rest/data/SPC,DF_NMDI_EDU,1.0/A..NMDI0431._T._T._T..?dimensionAtObservation=AllDimensions" TargetMode="External"/><Relationship Id="rId209" Type="http://schemas.openxmlformats.org/officeDocument/2006/relationships/hyperlink" Target="https://stats-sdmx-disseminate.pacificdata.org/rest/data/SPC,DF_SDG_04,3.0/A.SE_TOT_PRFL.._T._T._T._T.1_g7+1_y6..SKILL_MIN_NMRCY.?dimensionAtObservation=AllDimensions" TargetMode="External"/><Relationship Id="rId220" Type="http://schemas.openxmlformats.org/officeDocument/2006/relationships/hyperlink" Target="https://stats-sdmx-disseminate.pacificdata.org/rest/data/SPC,DF_SDG_16,3.0/A.VC_IHR_PSRC.._T.._T._T..._Z.?dimensionAtObservation=AllDimensions" TargetMode="External"/><Relationship Id="rId241" Type="http://schemas.openxmlformats.org/officeDocument/2006/relationships/hyperlink" Target="https://stats-sdmx-disseminate.pacificdata.org/rest/data/SPC,DF_SDG_01,3.0/A.SI_COV_PENSN..M._T._T._T._T...?startPeriod=2016&amp;endPeriod=2023&amp;dimensionAtObservation=AllDimensions" TargetMode="External"/><Relationship Id="rId15" Type="http://schemas.openxmlformats.org/officeDocument/2006/relationships/hyperlink" Target="https://stats-nsi-stable.pacificdata.org/rest/data/SPC,DF_POP_DENSITY,1.0/A.%5bTAG_GEO%5d.LANDAREA?dimensionAtObservation=AllDimensions" TargetMode="External"/><Relationship Id="rId36" Type="http://schemas.openxmlformats.org/officeDocument/2006/relationships/hyperlink" Target="https://stats-nsi-stable.pacificdata.org/rest/data/SPC,DF_WBWDI,1.0/A.%5bTAG_GEO%5d.SI_POV_GINI?dimensionAtObservation=AllDimensions" TargetMode="External"/><Relationship Id="rId57" Type="http://schemas.openxmlformats.org/officeDocument/2006/relationships/hyperlink" Target="https://stats-nsi-stable.pacificdata.org/rest/data/SPC,DF_SDG_15,3.0/A.ER_PTD_TERR.%5bTAG_GEO%5d........?dimensionAtObservation=AllDimensions" TargetMode="External"/><Relationship Id="rId78" Type="http://schemas.openxmlformats.org/officeDocument/2006/relationships/hyperlink" Target="https://stats.pacificdata.org/vis?lc=en&amp;df%5bds%5d=ds%3ASPC2&amp;df%5bid%5d=DF_POP_URBAN&amp;df%5bag%5d=SPC&amp;dq=A..POPRFCOU.U&amp;pd=,&amp;ly%5brw%5d=TIME_PERIOD&amp;to%5bTIME_PERIOD%5d=false" TargetMode="External"/><Relationship Id="rId99" Type="http://schemas.openxmlformats.org/officeDocument/2006/relationships/hyperlink" Target="https://stats.pacificdata.org/vis?tm=education&amp;pg=0&amp;df%5bds%5d=ds%3ASPC2&amp;df%5bid%5d=DF_NMDI_EDU&amp;df%5bag%5d=SPC&amp;df%5bvs%5d=1.0&amp;pd=%2C&amp;dq=A.%5bTAG_GEO%5d.NMDI0020._T._T._T.." TargetMode="External"/><Relationship Id="rId101" Type="http://schemas.openxmlformats.org/officeDocument/2006/relationships/hyperlink" Target="https://stats.pacificdata.org/vis?tm=covid%2019&amp;pg=0&amp;df%5bds%5d=ds%3ASPC2&amp;df%5bid%5d=DF_SOCECO&amp;df%5bag%5d=SPC&amp;df%5bvs%5d=1.0&amp;pd=%2C&amp;dq=A.%5bTAG_GEO%5d.OFB2GDP&amp;ly%5bcl%5d=TIME_PERIOD" TargetMode="External"/><Relationship Id="rId122" Type="http://schemas.openxmlformats.org/officeDocument/2006/relationships/hyperlink" Target="https://stats.pacificdata.org/vis?tm=access%20sanitation&amp;pg=0&amp;df%5bds%5d=ds%3ASPC2&amp;df%5bid%5d=DF_NMDI&amp;df%5bag%5d=SPC&amp;df%5bvs%5d=1.0&amp;pd=%2C&amp;dq=A.%5bTAG_GEO%5d.NMDI0134._T._T._T.." TargetMode="External"/><Relationship Id="rId143" Type="http://schemas.openxmlformats.org/officeDocument/2006/relationships/hyperlink" Target="https://stats.pacificdata.org/vis?tm=gender&amp;pg=0&amp;df%5bds%5d=ds%3ASPC2&amp;df%5bid%5d=DF_SDG_05&amp;df%5bag%5d=SPC&amp;df%5bvs%5d=3.0&amp;pd=%2C&amp;dq=A.VC_VAW_MARR.%5bTAG_GEO%5d.F.Y15T999._T..._T._Z." TargetMode="External"/><Relationship Id="rId164" Type="http://schemas.openxmlformats.org/officeDocument/2006/relationships/hyperlink" Target="https://stats.pacificdata.org/vis?tm=red%20list&amp;pg=0&amp;df%5bds%5d=ds%3ASPC2&amp;df%5bid%5d=DF_SDG_15&amp;df%5bag%5d=SPC&amp;df%5bvs%5d=3.0&amp;pd=%2C&amp;dq=A.ER_RSK_LST.%5bTAG_GEO%5d........&amp;ly%5bcl%5d=TIME_PERIOD" TargetMode="External"/><Relationship Id="rId185" Type="http://schemas.openxmlformats.org/officeDocument/2006/relationships/hyperlink" Target="https://stats-sdmx-disseminate.pacificdata.org/rest/data/SPC,DF_TRADE_FOOD,1.0/A.Q._T+AS+CK+FJ+FM+GU+KI+MH+MP+NC+NR+NU+PF+PG+PN+PW+SB+TK+TO+TV+VU+WF+WS._T.03?dimensionAtObservation=AllDimensions" TargetMode="External"/><Relationship Id="rId9" Type="http://schemas.openxmlformats.org/officeDocument/2006/relationships/hyperlink" Target="https://stats-nsi-stable.pacificdata.org/rest/data/SPC,DF_WBWDI,1.0/A.%5bTAG_GEO%5d.AG_LND_AGRI_ZS?dimensionAtObservation=AllDimensions" TargetMode="External"/><Relationship Id="rId210" Type="http://schemas.openxmlformats.org/officeDocument/2006/relationships/hyperlink" Target="https://stats.pacificdata.org/vis?tm=proficiency&amp;pg=0&amp;snb=4&amp;df%5bds%5d=ds%3ASPC2&amp;df%5bid%5d=DF_SDG_04&amp;df%5bag%5d=SPC&amp;df%5bvs%5d=3.0&amp;pd=%2C&amp;dq=A.SE_TOT_PRFL..F._T._T._T.1_g7%2B1_y6..SKILL_MIN_NMRCY.&amp;ly%5brw%5d=GEO_PICT%2CEDUCATION%2CCOMPOSITE_BREAKDOWN&amp;ly%5bcl%5d=TIME_PERIOD&amp;ly%5brs%5d=INDICATOR&amp;to%5bTIME_PERIOD%5d=false" TargetMode="External"/><Relationship Id="rId26" Type="http://schemas.openxmlformats.org/officeDocument/2006/relationships/hyperlink" Target="https://stats-nsi-stable.pacificdata.org/rest/data/SPC,DF_NMDI_EDU,1.0/A.%5bTAG_GEO%5d.NMDI0020._T._T._T..?dimensionAtObservation=AllDimensions" TargetMode="External"/><Relationship Id="rId231" Type="http://schemas.openxmlformats.org/officeDocument/2006/relationships/hyperlink" Target="https://stats.pacificdata.org/vis?tm=education%20attainement&amp;pg=0&amp;hc%5bEducation%20level%5d=&amp;snb=1&amp;df%5bds%5d=ds%3ASPC2&amp;df%5bid%5d=DF_EDUCATION&amp;df%5bag%5d=SPC&amp;df%5bvs%5d=1.0&amp;dq=A...M._T._T._T.&amp;pd=%2C&amp;to%5bTIME_PERIOD%5d=false&amp;ly%5bcl%5d=EDUCATION%2CTIME_PERIOD&amp;ly%5brw%5d=GEO_PICT&amp;lb=bt" TargetMode="External"/><Relationship Id="rId252" Type="http://schemas.openxmlformats.org/officeDocument/2006/relationships/vmlDrawing" Target="../drawings/vmlDrawing2.vml"/><Relationship Id="rId47" Type="http://schemas.openxmlformats.org/officeDocument/2006/relationships/hyperlink" Target="https://stats-nsi-stable.pacificdata.org/rest/data/SPC,DF_SDG_07,3.0/A.EG_ACS_ELEC.%5bTAG_GEO%5d..._T._T....?dimensionAtObservation=AllDimensions" TargetMode="External"/><Relationship Id="rId68" Type="http://schemas.openxmlformats.org/officeDocument/2006/relationships/hyperlink" Target="https://stats-nsi-stable.pacificdata.org/rest/data/SPC,DF_PRISON,1.0/A.%5bTAG_GEO%5d.COUNT?dimensionAtObservation=AllDimensions" TargetMode="External"/><Relationship Id="rId89" Type="http://schemas.openxmlformats.org/officeDocument/2006/relationships/hyperlink" Target="https://stats.pacificdata.org/vis?lc=en&amp;df%5bds%5d=SPC2&amp;df%5bid%5d=DF_SDG_03&amp;df%5bag%5d=SPC&amp;df%5bvs%5d=3.0&amp;dq=.SPC_3_8_1.%5bTAG_GEO%5d........&amp;pd=%2C&amp;ly%5bcl%5d=TIME_PERIOD" TargetMode="External"/><Relationship Id="rId112" Type="http://schemas.openxmlformats.org/officeDocument/2006/relationships/hyperlink" Target="https://stats.pacificdata.org/vis?tm=visitor&amp;pg=0&amp;df%5bds%5d=ds%3ASPC2&amp;df%5bid%5d=DF_OVERSEAS_VISITORS&amp;df%5bag%5d=SPC&amp;df%5bvs%5d=2.0&amp;pd=%2C&amp;dq=A.%5bTAG_GEO%5d._T.NOSVA&amp;ly%5bcl%5d=TIME_PERIOD" TargetMode="External"/><Relationship Id="rId133" Type="http://schemas.openxmlformats.org/officeDocument/2006/relationships/hyperlink" Target="https://stats.pacificdata.org/vis?tm=sdg%20water&amp;pg=0&amp;df%5bds%5d=ds%3ASPC2&amp;df%5bid%5d=DF_SDG_14&amp;df%5bag%5d=SPC&amp;df%5bvs%5d=3.0&amp;pd=%2C&amp;dq=A.ER_H2O_FWTL.%5bTAG_GEO%5d......._Z." TargetMode="External"/><Relationship Id="rId154" Type="http://schemas.openxmlformats.org/officeDocument/2006/relationships/hyperlink" Target="https://stats.pacificdata.org/vis?tm=voice%20and%20accountability&amp;pg=0&amp;hc%5bIndicator%5d=Voice%20and%20Accountability&amp;df%5bds%5d=ds%3ASPC2&amp;df%5bid%5d=DF_WBWGI&amp;df%5bag%5d=SPC&amp;df%5bvs%5d=1.0&amp;pd=%2C&amp;dq=A.%5bTAG_GEO%5d.RL_EST&amp;ly%5bcl%5d=TIME_PERIOD" TargetMode="External"/><Relationship Id="rId175" Type="http://schemas.openxmlformats.org/officeDocument/2006/relationships/hyperlink" Target="https://stats.pacificdata.org/vis?tm=literacy%20rate&amp;pg=0&amp;snb=5&amp;df%5bds%5d=ds%3ASPC2&amp;df%5bid%5d=DF_NMDI_EDU&amp;df%5bag%5d=SPC&amp;df%5bvs%5d=1.0&amp;pd=%2C&amp;dq=A..NMDI0019._T._T._T..&amp;ly%5brw%5d=GEO_PICT&amp;ly%5bcl%5d=TIME_PERIOD" TargetMode="External"/><Relationship Id="rId196" Type="http://schemas.openxmlformats.org/officeDocument/2006/relationships/hyperlink" Target="https://stats.pacificdata.org/vis?tm=literacy%20rate&amp;pg=0&amp;snb=5&amp;df%5bds%5d=ds%3ASPC2&amp;df%5bid%5d=DF_UIS&amp;df%5bag%5d=SPC&amp;df%5bvs%5d=1.0&amp;pd=%2C&amp;dq=A..LR_AG25T64&amp;ly%5brw%5d=INDICATOR&amp;ly%5bcl%5d=TIME_PERIOD&amp;to%5bTIME_PERIOD%5d=false" TargetMode="External"/><Relationship Id="rId200" Type="http://schemas.openxmlformats.org/officeDocument/2006/relationships/hyperlink" Target="https://stats.pacificdata.org/vis?tm=literacy%20rate&amp;pg=0&amp;snb=5&amp;df%5bds%5d=ds%3ASPC2&amp;df%5bid%5d=DF_NMDI_EDU&amp;df%5bag%5d=SPC&amp;df%5bvs%5d=1.0&amp;pd=%2C&amp;dq=A..NMDI0019.M._T._T..&amp;ly%5brw%5d=GEO_PICT&amp;ly%5bcl%5d=TIME_PERIOD&amp;to%5bTIME_PERIOD%5d=false&amp;lb=nm" TargetMode="External"/><Relationship Id="rId16" Type="http://schemas.openxmlformats.org/officeDocument/2006/relationships/hyperlink" Target="https://stats-nsi-stable.pacificdata.org/rest/data/SPC,DF_POP_COAST,2.0/A.%5bTAG_GEO%5d.COASTALPOPRF.5KM?dimensionAtObservation=AllDimensions" TargetMode="External"/><Relationship Id="rId221"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EDU&amp;df%5bag%5d=SPC&amp;df%5bvs%5d=1.0&amp;pd=%2C&amp;dq=A..NMDI0019._T._T.U._T.&amp;ly%5brw%5d=GEO_PICT&amp;ly%5bcl%5d=TIME_PERIOD&amp;to%5bTIME_PERIOD%5d=false" TargetMode="External"/><Relationship Id="rId242" Type="http://schemas.openxmlformats.org/officeDocument/2006/relationships/hyperlink" Target="https://stats.pacificdata.org/vis?tm=retirement&amp;pg=0&amp;snb=3&amp;df%5bds%5d=ds%3ASPC2&amp;df%5bid%5d=DF_SDG_01&amp;df%5bag%5d=SPC&amp;df%5bvs%5d=3.0&amp;dq=A.SI_COV_PENSN..F._T._T._T._T...&amp;pd=2016%2C2023&amp;to%5bTIME_PERIOD%5d=false&amp;ly%5bcl%5d=TIME_PERIOD&amp;ly%5brw%5d=GEO_PICT" TargetMode="External"/><Relationship Id="rId37" Type="http://schemas.openxmlformats.org/officeDocument/2006/relationships/hyperlink" Target="https://stats-nsi-stable.pacificdata.org/rest/data/SPC,DF_SDG_08,3.0/A.SL_TLF_NEET.%5bTAG_GEO%5d._T.Y15T24._T..._T.._T?dimensionAtObservation=AllDimensions" TargetMode="External"/><Relationship Id="rId58" Type="http://schemas.openxmlformats.org/officeDocument/2006/relationships/hyperlink" Target="https://stats-nsi-stable.pacificdata.org/rest/data/SPC,DF_KEYFACTS,1.0/A.%5bTAG_GEO%5d.EEZ?dimensionAtObservation=AllDimensions" TargetMode="External"/><Relationship Id="rId79" Type="http://schemas.openxmlformats.org/officeDocument/2006/relationships/hyperlink" Target="https://stats.pacificdata.org/vis?lc=en&amp;df%5bds%5d=ds%3ASPC2&amp;df%5bid%5d=DF_POP_AGE&amp;df%5bag%5d=SPC&amp;df%5bvs%5d=1.0&amp;dq=A.%5bTAG_GEO%5d.MEDIANAGE._T&amp;pd=%2C&amp;ly%5brw%5d=TIME_PERIOD" TargetMode="External"/><Relationship Id="rId102" Type="http://schemas.openxmlformats.org/officeDocument/2006/relationships/hyperlink" Target="https://stats.pacificdata.org/vis?tm=wb%20wdi&amp;pg=0&amp;df%5bds%5d=ds%3ASPC2&amp;df%5bid%5d=DF_WBWDI&amp;df%5bag%5d=SPC&amp;df%5bvs%5d=1.0&amp;pd=%2C&amp;dq=A.%5bTAG_GEO%5d.NV_AGR_TOTL_ZS&amp;ly%5bcl%5d=TIME_PERIOD" TargetMode="External"/><Relationship Id="rId123" Type="http://schemas.openxmlformats.org/officeDocument/2006/relationships/hyperlink" Target="https://stats.pacificdata.org/vis?tm=access%20sanitation&amp;pg=0&amp;df%5bds%5d=ds%3ASPC2&amp;df%5bid%5d=DF_NMDI&amp;df%5bag%5d=SPC&amp;df%5bvs%5d=1.0&amp;pd=%2C&amp;dq=A.%5bTAG_GEO%5d.NMDI0133._T._T._T.." TargetMode="External"/><Relationship Id="rId144" Type="http://schemas.openxmlformats.org/officeDocument/2006/relationships/hyperlink" Target="https://stats.pacificdata.org/vis?tm=gender&amp;pg=0&amp;df%5bds%5d=ds%3ASPC2&amp;df%5bid%5d=DF_SDG_05&amp;df%5bag%5d=SPC&amp;df%5bvs%5d=3.0&amp;pd=%2C&amp;dq=A.SG_GEN_PARL.%5bTAG_GEO%5d.F._T._T..._T._Z.&amp;ly%5bcl%5d=TIME_PERIOD" TargetMode="External"/><Relationship Id="rId90" Type="http://schemas.openxmlformats.org/officeDocument/2006/relationships/hyperlink" Target="https://stats.pacificdata.org/vis?lc=en&amp;df%5bds%5d=SPC2&amp;df%5bid%5d=DF_SDG_03&amp;df%5bag%5d=SPC&amp;df%5bvs%5d=3.0&amp;dq=.SH_DYN_IMRT.%5bTAG_GEO%5d._T.......&amp;pd=%2C&amp;ly%5bcl%5d=TIME_PERIOD" TargetMode="External"/><Relationship Id="rId165" Type="http://schemas.openxmlformats.org/officeDocument/2006/relationships/hyperlink" Target="https://stats.pacificdata.org/vis?tm=co2&amp;pg=0&amp;df%5bds%5d=ds%3ASPC2&amp;df%5bid%5d=DF_WBWDI&amp;df%5bag%5d=SPC&amp;df%5bvs%5d=1.0&amp;pd=%2C&amp;dq=A.%5bTAG_GEO%5d.EN_ATM_CO2E_PC&amp;ly%5bcl%5d=TIME_PERIOD" TargetMode="External"/><Relationship Id="rId186" Type="http://schemas.openxmlformats.org/officeDocument/2006/relationships/hyperlink" Target="https://stats.pacificdata.org/vis?lc=en&amp;df%5bds%5d=SPC2&amp;df%5bid%5d=DF_TRADE_FOOD&amp;df%5bag%5d=SPC&amp;df%5bvs%5d=1.0&amp;pd=%2C&amp;dq=A.Q._T.NR%2BWF%2BTV%2BTO%2BWS%2BNU%2BPF%2BCK%2BAS%2BPW%2BMH%2BKI%2BGU%2BFM%2BVU%2BSB%2BPG%2BNC%2BFJ.03&amp;ly%5bcl%5d=TIME_PERIOD&amp;to%5bTIME_PERIOD%5d=false" TargetMode="External"/><Relationship Id="rId211" Type="http://schemas.openxmlformats.org/officeDocument/2006/relationships/hyperlink" Target="https://stats-sdmx-disseminate.pacificdata.org/rest/data/SPC,DF_SDG_04,3.0/A.SE_TOT_PRFL..F._T._T._T.1_g7+1_y6..SKILL_MIN_NMRCY.?dimensionAtObservation=AllDimensions" TargetMode="External"/><Relationship Id="rId232" Type="http://schemas.openxmlformats.org/officeDocument/2006/relationships/hyperlink" Target="https://stats-sdmx-disseminate.pacificdata.org/rest/data/SPC,DF_EDUCATION,1.0/A...M._T._T._T.?dimensionAtObservation=AllDimensions" TargetMode="External"/><Relationship Id="rId253" Type="http://schemas.openxmlformats.org/officeDocument/2006/relationships/comments" Target="../comments2.xml"/><Relationship Id="rId27" Type="http://schemas.openxmlformats.org/officeDocument/2006/relationships/hyperlink" Target="https://stats-nsi-stable.pacificdata.org/rest/data/SPC,DF_SDG_04,3.0/A.SE_TOT_GPI.%5bTAG_GEO%5d._T._T._T._T._T._T._Z.?dimensionAtObservation=AllDimensions" TargetMode="External"/><Relationship Id="rId48" Type="http://schemas.openxmlformats.org/officeDocument/2006/relationships/hyperlink" Target="https://stats-nsi-stable.pacificdata.org/rest/data/SPC,DF_SDG_07,3.0/A.EG_EGY_CLEAN.%5bTAG_GEO%5d..._T._T....?dimensionAtObservation=AllDimensions" TargetMode="External"/><Relationship Id="rId69" Type="http://schemas.openxmlformats.org/officeDocument/2006/relationships/hyperlink" Target="https://stats-nsi-stable.pacificdata.org/rest/data/SPC,DF_SDG_16,3.0/A.SPC_16_7_2.%5bTAG_GEO%5d._T._T._T._T..._Z.?dimensionAtObservation=AllDimensions" TargetMode="External"/><Relationship Id="rId113" Type="http://schemas.openxmlformats.org/officeDocument/2006/relationships/hyperlink" Target="https://stats.pacificdata.org/vis?tm=wb%20dai&amp;pg=0&amp;df%5bds%5d=ds%3ASPC2&amp;df%5bid%5d=DF_WBDAI&amp;df%5bag%5d=SPC&amp;df%5bvs%5d=1.0&amp;pd=%2C&amp;dq=A.%5bTAG_GEO%5d.DAI&amp;ly%5bcl%5d=TIME_PERIOD" TargetMode="External"/><Relationship Id="rId134" Type="http://schemas.openxmlformats.org/officeDocument/2006/relationships/hyperlink" Target="https://stats.pacificdata.org/vis?tm=voice%20and%20accountability&amp;pg=0&amp;hc%5bIndicator%5d=Voice%20and%20Accountability&amp;df%5bds%5d=ds%3ASPC2&amp;df%5bid%5d=DF_WBWGI&amp;df%5bag%5d=SPC&amp;df%5bvs%5d=1.0&amp;pd=%2C&amp;dq=A.%5bTAG_GEO%5d.VA_EST&amp;ly%5bcl%5d=TIME_PERIOD" TargetMode="External"/><Relationship Id="rId80" Type="http://schemas.openxmlformats.org/officeDocument/2006/relationships/hyperlink" Target="https://stats.pacificdata.org/vis?lc=en&amp;df%5bds%5d=ds%3ASPC2&amp;df%5bid%5d=DF_POP_PROJ&amp;df%5bag%5d=SPC&amp;df%5bvs%5d=3.0&amp;dq=A.%5bTAG_GEO%5d.POPYGR._T._T&amp;pd=%2C&amp;ly%5brw%5d=TIME_PERIOD" TargetMode="External"/><Relationship Id="rId155" Type="http://schemas.openxmlformats.org/officeDocument/2006/relationships/hyperlink" Target="https://stats.pacificdata.org/vis?tm=voice%20and%20accountability&amp;pg=0&amp;hc%5bIndicator%5d=Voice%20and%20Accountability&amp;df%5bds%5d=ds%3ASPC2&amp;df%5bid%5d=DF_WBWGI&amp;df%5bag%5d=SPC&amp;df%5bvs%5d=1.0&amp;pd=%2C&amp;dq=A.%5bTAG_GEO%5d.RQ_EST&amp;ly%5bcl%5d=TIME_PERIOD" TargetMode="External"/><Relationship Id="rId176" Type="http://schemas.openxmlformats.org/officeDocument/2006/relationships/hyperlink" Target="https://stats.pacificdata.org/vis?fs%5b0%5d=Topic,0%7CMulti-domain%23XDO%23&amp;pg=0&amp;fc=Topic&amp;bp=true&amp;snb=6&amp;df%5bds%5d=ds%3ASPC2&amp;df%5bid%5d=DF_KEYFACTS&amp;df%5bag%5d=SPC&amp;pd=2020,&amp;dq=A..GOV&amp;ly%5brw%5d=GEO_PICT&amp;to%5bTIME_PERIOD%5d=false" TargetMode="External"/><Relationship Id="rId197" Type="http://schemas.openxmlformats.org/officeDocument/2006/relationships/hyperlink" Target="https://stats.pacificdata.org/vis?tm=literacy%20rate&amp;pg=0&amp;snb=5&amp;df%5bds%5d=ds%3ASPC2&amp;df%5bid%5d=DF_UIS&amp;df%5bag%5d=SPC&amp;df%5bvs%5d=1.0&amp;pd=%2C&amp;dq=A..LR_AG25T64_M&amp;ly%5brw%5d=INDICATOR&amp;ly%5bcl%5d=TIME_PERIOD&amp;to%5bTIME_PERIOD%5d=false" TargetMode="External"/><Relationship Id="rId201" Type="http://schemas.openxmlformats.org/officeDocument/2006/relationships/hyperlink" Target="https://stats.pacificdata.org/vis?tm=population&amp;pg=0&amp;hc%5bTopic%5d=Population&amp;snb=42&amp;df%5bds%5d=ds%3ASPC2&amp;df%5bid%5d=DF_POP_AGE&amp;df%5bag%5d=SPC&amp;df%5bvs%5d=1.0&amp;pd=%2C&amp;dq=A..POPYOUTH._T&amp;ly%5brw%5d=GEO_PICT&amp;to%5bTIME_PERIOD%5d=false" TargetMode="External"/><Relationship Id="rId222"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EDU&amp;df%5bag%5d=SPC&amp;df%5bvs%5d=1.0&amp;pd=%2C&amp;dq=A..NMDI0019._T._T.R._T.&amp;ly%5brw%5d=GEO_PICT&amp;ly%5bcl%5d=TIME_PERIOD&amp;to%5bTIME_PERIOD%5d=false" TargetMode="External"/><Relationship Id="rId243" Type="http://schemas.openxmlformats.org/officeDocument/2006/relationships/hyperlink" Target="https://stats-sdmx-disseminate.pacificdata.org/rest/data/SPC,DF_SDG_01,3.0/A.SI_COV_PENSN..F._T._T._T._T...?startPeriod=2016&amp;endPeriod=2023&amp;dimensionAtObservation=AllDimensions" TargetMode="External"/><Relationship Id="rId17" Type="http://schemas.openxmlformats.org/officeDocument/2006/relationships/hyperlink" Target="https://stats-nsi-stable.pacificdata.org/rest/data/SPC,DF_POP_COAST,2.0/A.%5bTAG_GEO%5d.COASTALPOPRF.10KM?dimensionAtObservation=AllDimensions" TargetMode="External"/><Relationship Id="rId38" Type="http://schemas.openxmlformats.org/officeDocument/2006/relationships/hyperlink" Target="https://stats-nsi-stable.pacificdata.org/rest/data/SPC,DF_EGOV,1.0/A.%5bTAG_GEO%5d.EGI?dimensionAtObservation=AllDimensions" TargetMode="External"/><Relationship Id="rId59" Type="http://schemas.openxmlformats.org/officeDocument/2006/relationships/hyperlink" Target="https://stats-nsi-stable.pacificdata.org/rest/data/SPC,DF_SDG_14,3.0/A.ER_MRN_MARIN.%5bTAG_GEO%5d......._Z.?dimensionAtObservation=AllDimensions" TargetMode="External"/><Relationship Id="rId103" Type="http://schemas.openxmlformats.org/officeDocument/2006/relationships/hyperlink" Target="https://stats.pacificdata.org/vis?tm=wb%20wdi&amp;pg=0&amp;df%5bds%5d=ds%3ASPC2&amp;df%5bid%5d=DF_WBWDI&amp;df%5bag%5d=SPC&amp;df%5bvs%5d=1.0&amp;pd=%2C&amp;dq=A.%5bTAG_GEO%5d.NV_IND_TOTL_ZS&amp;ly%5bcl%5d=TIME_PERIOD" TargetMode="External"/><Relationship Id="rId124" Type="http://schemas.openxmlformats.org/officeDocument/2006/relationships/hyperlink" Target="https://stats.pacificdata.org/vis?tm=SDG%2011&amp;pg=0&amp;df%5bds%5d=ds%3ASPC2&amp;df%5bid%5d=DF_SDG_11&amp;df%5bag%5d=SPC&amp;df%5bvs%5d=3.0&amp;pd=%2C&amp;dq=A.VC_DSR_MORT.%5bTAG_GEO%5d..._T.....&amp;ly%5bcl%5d=TIME_PERIOD&amp;hc%5bdataflowId%5d=DF_SDG_11" TargetMode="External"/><Relationship Id="rId70" Type="http://schemas.openxmlformats.org/officeDocument/2006/relationships/hyperlink" Target="https://stats-nsi-stable.pacificdata.org/rest/data/SPC,DF_VITAL,1.0/A.%5bTAG_GEO%5d.TNFR._T?dimensionAtObservation=AllDimensions" TargetMode="External"/><Relationship Id="rId91" Type="http://schemas.openxmlformats.org/officeDocument/2006/relationships/hyperlink" Target="https://stats.pacificdata.org/vis?lc=en&amp;df%5bds%5d=ds%3ASPC2&amp;df%5bid%5d=DF_SDG_03&amp;df%5bag%5d=SPC&amp;df%5bvs%5d=3.0&amp;dq=A.SH_STA_MORT.%5bTAG_GEO%5d.F._T._T..._T._Z.&amp;pd=%2C&amp;ly%5bcl%5d=TIME_PERIOD&amp;tm=maternal&amp;pg=0" TargetMode="External"/><Relationship Id="rId145" Type="http://schemas.openxmlformats.org/officeDocument/2006/relationships/hyperlink" Target="https://stats.pacificdata.org/vis?tm=gender&amp;pg=0&amp;df%5bds%5d=ds%3ASPC2&amp;df%5bid%5d=DF_SDG_05&amp;df%5bag%5d=SPC&amp;df%5bvs%5d=3.0&amp;pd=%2C&amp;dq=A.IC_GEN_MGTL.%5bTAG_GEO%5d._T._T._T..._T._Z.&amp;ly%5bcl%5d=TIME_PERIOD" TargetMode="External"/><Relationship Id="rId166" Type="http://schemas.openxmlformats.org/officeDocument/2006/relationships/hyperlink" Target="https://stats-nsi-stable.pacificdata.org/rest/data/SPC,DF_WBWDI,1.0/A.%5bTAG_GEO%5d.EN_ATM_CO2E_PC?dimensionAtObservation=AllDimensions" TargetMode="External"/><Relationship Id="rId187" Type="http://schemas.openxmlformats.org/officeDocument/2006/relationships/hyperlink" Target="https://stats-sdmx-disseminate.pacificdata.org/rest/data/SPC,DF_TRADE_FOOD,1.0/A.Q._T.NR+WF+TV+TO+WS+NU+PF+CK+AS+PW+MH+KI+GU+FM+VU+SB+PG+NC+FJ.03?dimensionAtObservation=AllDimensions" TargetMode="External"/><Relationship Id="rId1" Type="http://schemas.openxmlformats.org/officeDocument/2006/relationships/hyperlink" Target="https://stats-sdmx-disseminate.pacificdata.org/rest/data/SPC,DF_POP_PROJ,/A..MIDYEARPOPEST._T._T?dimensionAtObservation=AllDimensions" TargetMode="External"/><Relationship Id="rId212" Type="http://schemas.openxmlformats.org/officeDocument/2006/relationships/hyperlink" Target="https://stats.pacificdata.org/vis?tm=proficiency&amp;pg=0&amp;snb=4&amp;df%5bds%5d=ds%3ASPC2&amp;df%5bid%5d=DF_SDG_04&amp;df%5bag%5d=SPC&amp;df%5bvs%5d=3.0&amp;pd=%2C&amp;dq=A.SE_TOT_PRFL..M._T._T._T.1_g7%2B1_y6..SKILL_MIN_NMRCY.&amp;ly%5brw%5d=GEO_PICT%2CEDUCATION%2CCOMPOSITE_BREAKDOWN&amp;ly%5bcl%5d=TIME_PERIOD&amp;ly%5brs%5d=INDICATOR&amp;to%5bTIME_PERIOD%5d=false" TargetMode="External"/><Relationship Id="rId233" Type="http://schemas.openxmlformats.org/officeDocument/2006/relationships/hyperlink" Target="https://stats.pacificdata.org/vis?tm=education%20attainement&amp;pg=0&amp;hc%5bEducation%20level%5d=&amp;snb=1&amp;df%5bds%5d=ds%3ASPC2&amp;df%5bid%5d=DF_EDUCATION&amp;df%5bag%5d=SPC&amp;df%5bvs%5d=1.0&amp;dq=A...F._T._T._T.&amp;pd=%2C&amp;to%5bTIME_PERIOD%5d=false&amp;ly%5bcl%5d=EDUCATION%2CTIME_PERIOD&amp;ly%5brw%5d=GEO_PICT&amp;lb=bt" TargetMode="External"/><Relationship Id="rId28" Type="http://schemas.openxmlformats.org/officeDocument/2006/relationships/hyperlink" Target="https://stats-nsi-stable.pacificdata.org/rest/data/SPC,DF_SDG_04,3.0/A.SE_ADT_EDUCTRN.%5bTAG_GEO%5d._T._T._T._T._T._T._Z.?dimensionAtObservation=AllDimensions" TargetMode="External"/><Relationship Id="rId49" Type="http://schemas.openxmlformats.org/officeDocument/2006/relationships/hyperlink" Target="https://stats-nsi-stable.pacificdata.org/rest/data/SPC,DF_SDG_07,3.0/A.EG_EGY_PRIM.%5bTAG_GEO%5d..._T._T....?dimensionAtObservation=AllDimensions" TargetMode="External"/><Relationship Id="rId114" Type="http://schemas.openxmlformats.org/officeDocument/2006/relationships/hyperlink" Target="https://stats.pacificdata.org/vis?tm=digital&amp;pg=0&amp;df%5bds%5d=ds%3ASPC2&amp;df%5bid%5d=DF_DIGITAL_DEVELOPMENT&amp;df%5bag%5d=SPC&amp;df%5bvs%5d=1.0&amp;pd=%2C&amp;dq=A.%5bTAG_GEO%5d.DD024&amp;ly%5bcl%5d=TIME_PERIOD" TargetMode="External"/><Relationship Id="rId60" Type="http://schemas.openxmlformats.org/officeDocument/2006/relationships/hyperlink" Target="https://stats-nsi-stable.pacificdata.org/rest/data/SPC,DF_SDG_14,3.0/A.SPC_14_7_1.%5bTAG_GEO%5d......._Z.?dimensionAtObservation=AllDimensions" TargetMode="External"/><Relationship Id="rId81" Type="http://schemas.openxmlformats.org/officeDocument/2006/relationships/hyperlink" Target="https://stats.pacificdata.org/vis?lc=en&amp;df%5bds%5d=ds%3ASPC2&amp;df%5bid%5d=DF_HHCOUNTS&amp;df%5bag%5d=SPC&amp;df%5bvs%5d=1.0&amp;dq=A.%5bTAG_GEO%5d.HHSZ&amp;pd=%2C&amp;ly%5brw%5d=TIME_PERIOD" TargetMode="External"/><Relationship Id="rId135" Type="http://schemas.openxmlformats.org/officeDocument/2006/relationships/hyperlink" Target="https://stats.pacificdata.org/vis?tm=voice%20and%20accountability&amp;pg=0&amp;hc%5bIndicator%5d=Voice%20and%20Accountability&amp;df%5bds%5d=ds%3ASPC2&amp;df%5bid%5d=DF_WBWGI&amp;df%5bag%5d=SPC&amp;df%5bvs%5d=1.0&amp;pd=%2C&amp;dq=A.%5bTAG_GEO%5d.GE_EST&amp;ly%5bcl%5d=TIME_PERIOD" TargetMode="External"/><Relationship Id="rId156" Type="http://schemas.openxmlformats.org/officeDocument/2006/relationships/hyperlink" Target="https://stats.pacificdata.org/vis?fs%5b0%5d=Topic%2C0%7CEconomy%23ECO%23&amp;pg=0&amp;fc=Topic&amp;df%5bds%5d=ds%3ASPC2&amp;df%5bid%5d=DF_NATIONAL_ACCOUNTS&amp;df%5bag%5d=SPC&amp;df%5bvs%5d=1.0&amp;pd=%2C2021&amp;dq=A.USD.%5bTAG_GEO%5d.GDPCPC&amp;ly%5bcl%5d=TIME_PERIOD" TargetMode="External"/><Relationship Id="rId177" Type="http://schemas.openxmlformats.org/officeDocument/2006/relationships/hyperlink" Target="https://stats-sdmx-disseminate.pacificdata.org/rest/data/SPC,DF_SDG_03,3.0/A.SH_MED_DEN.%5bTAG_GEO%5d._T._T._T._T._T.222._Z._T?dimensionAtObservation=AllDimensions" TargetMode="External"/><Relationship Id="rId198" Type="http://schemas.openxmlformats.org/officeDocument/2006/relationships/hyperlink" Target="https://stats.pacificdata.org/vis?tm=literacy%20rate&amp;pg=0&amp;snb=5&amp;df%5bds%5d=ds%3ASPC2&amp;df%5bid%5d=DF_UIS&amp;df%5bag%5d=SPC&amp;df%5bvs%5d=1.0&amp;pd=%2C&amp;dq=A..LR_AG25T64_F&amp;ly%5brw%5d=INDICATOR&amp;ly%5bcl%5d=TIME_PERIOD&amp;to%5bTIME_PERIOD%5d=false" TargetMode="External"/><Relationship Id="rId202" Type="http://schemas.openxmlformats.org/officeDocument/2006/relationships/hyperlink" Target="https://stats.pacificdata.org/vis?tm=proficiency&amp;pg=0&amp;snb=4&amp;df%5bds%5d=ds%3ASPC2&amp;df%5bid%5d=DF_SDG_04&amp;df%5bag%5d=SPC&amp;df%5bvs%5d=3.0&amp;pd=%2C&amp;dq=A.SE_TOT_PRFL.._T._T._T._T.1_g7%2B1_y6..SKILL_MIN_LTRCY.&amp;ly%5brw%5d=GEO_PICT%2CEDUCATION%2CCOMPOSITE_BREAKDOWN&amp;ly%5bcl%5d=TIME_PERIOD&amp;ly%5brs%5d=INDICATOR&amp;to%5bTIME_PERIOD%5d=false" TargetMode="External"/><Relationship Id="rId223" Type="http://schemas.openxmlformats.org/officeDocument/2006/relationships/hyperlink" Target="https://stats-sdmx-disseminate.pacificdata.org/rest/data/SPC,DF_NMDI_EDU,1.0/A..NMDI0019._T._T.R._T.?dimensionAtObservation=AllDimensions" TargetMode="External"/><Relationship Id="rId244" Type="http://schemas.openxmlformats.org/officeDocument/2006/relationships/hyperlink" Target="https://stats.pacificdata.org/vis?tm=education%20attainement&amp;pg=0&amp;hc%5bEducation%20level%5d=&amp;snb=1&amp;df%5bds%5d=ds%3ASPC2&amp;df%5bid%5d=DF_EDUCATION&amp;df%5bag%5d=SPC&amp;df%5bvs%5d=1.0&amp;dq=A...M._T._T._T.&amp;pd=%2C&amp;to%5bTIME_PERIOD%5d=false&amp;ly%5bcl%5d=EDUCATION%2CTIME_PERIOD&amp;ly%5brw%5d=GEO_PICT&amp;lb=bt" TargetMode="External"/><Relationship Id="rId18" Type="http://schemas.openxmlformats.org/officeDocument/2006/relationships/hyperlink" Target="https://stats-nsi-stable.pacificdata.org/rest/data/SPC,DF_POP_AGE,1.0/A.%5bTAG_GEO%5d.DEPRATIO1564._T?dimensionAtObservation=AllDimensions" TargetMode="External"/><Relationship Id="rId39" Type="http://schemas.openxmlformats.org/officeDocument/2006/relationships/hyperlink" Target="https://stats-nsi-stable.pacificdata.org/rest/data/SPC,DF_TOURISM_EARNINGS,1.0/A.%5bTAG_GEO%5d.EARN2GDP.USD?dimensionAtObservation=AllDimensions" TargetMode="External"/><Relationship Id="rId50" Type="http://schemas.openxmlformats.org/officeDocument/2006/relationships/hyperlink" Target="https://stats-nsi-stable.pacificdata.org/rest/data/SPC,DF_WBWDI,1.0/A.%5bTAG_GEO%5d.EG_ELC_RNEW_ZS?dimensionAtObservation=AllDimensions" TargetMode="External"/><Relationship Id="rId104" Type="http://schemas.openxmlformats.org/officeDocument/2006/relationships/hyperlink" Target="https://stats.pacificdata.org/vis?tm=wb%20wdi&amp;pg=0&amp;df%5bds%5d=ds%3ASPC2&amp;df%5bid%5d=DF_WBWDI&amp;df%5bag%5d=SPC&amp;df%5bvs%5d=1.0&amp;pd=%2C&amp;dq=A.%5bTAG_GEO%5d.NV_SRV_TOTL_ZS&amp;ly%5bcl%5d=TIME_PERIOD" TargetMode="External"/><Relationship Id="rId125" Type="http://schemas.openxmlformats.org/officeDocument/2006/relationships/hyperlink" Target="https://stats.pacificdata.org/vis?tm=SDG%2011&amp;pg=0&amp;df%5bds%5d=ds%3ASPC2&amp;df%5bid%5d=DF_SDG_11&amp;df%5bag%5d=SPC&amp;df%5bvs%5d=3.0&amp;pd=%2C&amp;dq=A.VC_DSR_MISS.%5bTAG_GEO%5d..._T.....&amp;ly%5bcl%5d=TIME_PERIOD&amp;hc%5bdataflowId%5d=DF_SDG_11" TargetMode="External"/><Relationship Id="rId146" Type="http://schemas.openxmlformats.org/officeDocument/2006/relationships/hyperlink" Target="https://stats.pacificdata.org/vis?tm=sdg%2010&amp;pg=0&amp;hc%5bdataflowId%5d=DF_SDG_10&amp;df%5bds%5d=ds%3ASPC2&amp;df%5bid%5d=DF_SDG_10&amp;df%5bag%5d=SPC&amp;df%5bvs%5d=3.0&amp;pd=%2C&amp;dq=A.DC_TRF_TOTL.%5bTAG_GEO%5d......._Z.&amp;ly%5bcl%5d=TIME_PERIOD" TargetMode="External"/><Relationship Id="rId167" Type="http://schemas.openxmlformats.org/officeDocument/2006/relationships/hyperlink" Target="https://stats.pacificdata.org/vis?tm=fertility&amp;pg=0&amp;df%5bds%5d=ds%3ASPC2&amp;df%5bid%5d=DF_VITAL&amp;df%5bag%5d=SPC&amp;df%5bvs%5d=1.0&amp;pd=%2C&amp;dq=A.%5bTAG_GEO%5d.TFR.&amp;ly%5bcl%5d=TIME_PERIOD" TargetMode="External"/><Relationship Id="rId188" Type="http://schemas.openxmlformats.org/officeDocument/2006/relationships/hyperlink" Target="https://stats.pacificdata.org/vis?lc=en&amp;tm=Total%20donors&amp;pg=0&amp;hc%5bFlow%20type%5d=Total&amp;hc%5bDonor%5d=Total&amp;snb=3&amp;df%5bds%5d=ds%3ASPC2&amp;df%5bid%5d=DF_PAM&amp;df%5bag%5d=SPC&amp;df%5bvs%5d=1.0&amp;pd=%2C&amp;dq=A.VU%2BTV%2BTO%2BSB%2BWS%2BPG%2BPW%2BNU%2BNR%2BFM%2BMH%2BKI%2BFJ%2BCK.TRVAL._T.COM._T&amp;ly%5bcl%5d=TIME_PERIOD&amp;ly%5brw%5d=GEO_PICT&amp;to%5bTIME_PERIOD%5d=false" TargetMode="External"/><Relationship Id="rId71" Type="http://schemas.openxmlformats.org/officeDocument/2006/relationships/hyperlink" Target="https://stats-nsi-stable.pacificdata.org/rest/data/SPC,DF_SDG_05,3.0/A.SPC_5_2_2.%5bTAG_GEO%5d.F.Y15T999._T..._T._Z.?dimensionAtObservation=AllDimensions" TargetMode="External"/><Relationship Id="rId92" Type="http://schemas.openxmlformats.org/officeDocument/2006/relationships/hyperlink" Target="https://stats.pacificdata.org/vis?tm=health&amp;pg=0&amp;df%5bds%5d=ds%3ASPC2&amp;df%5bid%5d=DF_NMDI_HEA&amp;df%5bag%5d=SPC&amp;df%5bvs%5d=1.0&amp;pd=%2C&amp;dq=A.%5bTAG_GEO%5d.NMDI0131._T._T._T.." TargetMode="External"/><Relationship Id="rId213" Type="http://schemas.openxmlformats.org/officeDocument/2006/relationships/hyperlink" Target="https://stats-sdmx-disseminate.pacificdata.org/rest/data/SPC,DF_SDG_04,3.0/A.SE_TOT_PRFL..M._T._T._T.1_g7+1_y6..SKILL_MIN_NMRCY.?dimensionAtObservation=AllDimensions" TargetMode="External"/><Relationship Id="rId234" Type="http://schemas.openxmlformats.org/officeDocument/2006/relationships/hyperlink" Target="https://stats-sdmx-disseminate.pacificdata.org/rest/data/SPC,DF_EDUCATION,1.0/A...F._T._T._T.?dimensionAtObservation=AllDimensions" TargetMode="External"/><Relationship Id="rId2" Type="http://schemas.openxmlformats.org/officeDocument/2006/relationships/hyperlink" Target="https://stats-sdmx-disseminate.pacificdata.org/rest/data/SPC,DF_POP_URBAN,/A..POPRFCOU.U?dimensionAtObservation=AllDimensions" TargetMode="External"/><Relationship Id="rId29" Type="http://schemas.openxmlformats.org/officeDocument/2006/relationships/hyperlink" Target="https://stats-nsi-stable.pacificdata.org/rest/data/SPC,DF_SOCECO,1.0/A.%5bTAG_GEO%5d.OFB2GDP?dimensionAtObservation=AllDimensions" TargetMode="External"/><Relationship Id="rId40" Type="http://schemas.openxmlformats.org/officeDocument/2006/relationships/hyperlink" Target="https://stats-nsi-stable.pacificdata.org/rest/data/SPC,DF_TOURISM_EARNINGS,1.0/A.%5bTAG_GEO%5d.EARN2VIS.USD?dimensionAtObservation=AllDimensions" TargetMode="External"/><Relationship Id="rId115" Type="http://schemas.openxmlformats.org/officeDocument/2006/relationships/hyperlink" Target="https://stats.pacificdata.org/vis?tm=partner&amp;pg=0&amp;df%5bds%5d=ds%3ASPC2&amp;df%5bid%5d=DF_SDG_17&amp;df%5bag%5d=SPC&amp;df%5bvs%5d=3.0&amp;pd=%2C&amp;dq=A.SPC_17_3_1.%5bTAG_GEO%5d._T._T._T...._Z.&amp;ly%5bcl%5d=TIME_PERIOD" TargetMode="External"/><Relationship Id="rId136" Type="http://schemas.openxmlformats.org/officeDocument/2006/relationships/hyperlink" Target="https://stats.pacificdata.org/vis?tm=voice%20and%20accountability&amp;pg=0&amp;hc%5bIndicator%5d=Voice%20and%20Accountability&amp;df%5bds%5d=ds%3ASPC2&amp;df%5bid%5d=DF_WBWGI&amp;df%5bag%5d=SPC&amp;df%5bvs%5d=1.0&amp;pd=%2C&amp;dq=A.%5bTAG_GEO%5d.CC_EST&amp;ly%5bcl%5d=TIME_PERIOD" TargetMode="External"/><Relationship Id="rId157" Type="http://schemas.openxmlformats.org/officeDocument/2006/relationships/hyperlink" Target="https://stats-nsi-stable.pacificdata.org/rest/data/SPC,DF_NATIONAL_ACCOUNTS,1.0/A.USD.%5bTAG_GEO%5d.GDPCPC?endPeriod=2021&amp;dimensionAtObservation=AllDimensions" TargetMode="External"/><Relationship Id="rId178" Type="http://schemas.openxmlformats.org/officeDocument/2006/relationships/hyperlink" Target="https://stats-sdmx-disseminate.pacificdata.org/rest/data/SPC,DF_SDG_03,3.0/A.SP_DYN_ADKL.%5bTAG_GEO%5d.F.Y15T19._T.....?dimensionAtObservation=AllDimensions" TargetMode="External"/><Relationship Id="rId61" Type="http://schemas.openxmlformats.org/officeDocument/2006/relationships/hyperlink" Target="https://stats-nsi-stable.pacificdata.org/rest/data/SPC,DF_SDG_14,3.0/A.ER_H2O_FWTL.%5bTAG_GEO%5d......._Z.?dimensionAtObservation=AllDimensions" TargetMode="External"/><Relationship Id="rId82" Type="http://schemas.openxmlformats.org/officeDocument/2006/relationships/hyperlink" Target="https://stats.pacificdata.org/vis?lc=en&amp;df%5bds%5d=ds%3ASPC2&amp;df%5bid%5d=DF_POP_DENSITY&amp;df%5bag%5d=SPC&amp;df%5bvs%5d=1.0&amp;dq=A.%5bTAG_GEO%5d.POPDENSITY&amp;pd=%2C&amp;ly%5brw%5d=TIME_PERIOD" TargetMode="External"/><Relationship Id="rId199" Type="http://schemas.openxmlformats.org/officeDocument/2006/relationships/hyperlink" Target="https://stats.pacificdata.org/vis?tm=literacy%20rate&amp;pg=0&amp;snb=5&amp;df%5bds%5d=ds%3ASPC2&amp;df%5bid%5d=DF_NMDI_EDU&amp;df%5bag%5d=SPC&amp;df%5bvs%5d=1.0&amp;pd=%2C&amp;dq=A..NMDI0019.F._T._T..&amp;ly%5brw%5d=GEO_PICT&amp;ly%5bcl%5d=TIME_PERIOD&amp;to%5bTIME_PERIOD%5d=false" TargetMode="External"/><Relationship Id="rId203" Type="http://schemas.openxmlformats.org/officeDocument/2006/relationships/hyperlink" Target="https://stats-sdmx-disseminate.pacificdata.org/rest/data/SPC,DF_SDG_04,3.0/A.SE_TOT_PRFL.._T._T._T._T.1_g7+1_y6..SKILL_MIN_LTRCY.?dimensionAtObservation=AllDimensions" TargetMode="External"/><Relationship Id="rId19" Type="http://schemas.openxmlformats.org/officeDocument/2006/relationships/hyperlink" Target="https://stats-sdmx-disseminate.pacificdata.org/rest/data/SPC,DF_SDG_03,3.0/A.SH_DTH_NCD.._T._T._T..._T._Z.?dimensionAtObservation=AllDimensions" TargetMode="External"/><Relationship Id="rId224" Type="http://schemas.openxmlformats.org/officeDocument/2006/relationships/hyperlink" Target="https://stats-sdmx-disseminate.pacificdata.org/rest/data/SPC,DF_NMDI_EDU,1.0/A..NMDI0019._T._T.U._T.?dimensionAtObservation=AllDimensions" TargetMode="External"/><Relationship Id="rId245" Type="http://schemas.openxmlformats.org/officeDocument/2006/relationships/hyperlink" Target="https://stats.pacificdata.org/vis?tm=education%20attainement&amp;pg=0&amp;hc%5bEducation%20level%5d=&amp;snb=1&amp;df%5bds%5d=ds%3ASPC2&amp;df%5bid%5d=DF_EDUCATION&amp;df%5bag%5d=SPC&amp;df%5bvs%5d=1.0&amp;dq=A...F._T._T._T.&amp;pd=%2C&amp;to%5bTIME_PERIOD%5d=false&amp;ly%5bcl%5d=EDUCATION%2CTIME_PERIOD&amp;ly%5brw%5d=GEO_PICT&amp;lb=bt" TargetMode="External"/><Relationship Id="rId30" Type="http://schemas.openxmlformats.org/officeDocument/2006/relationships/hyperlink" Target="https://stats-nsi-stable.pacificdata.org/rest/data/SPC,DF_WBWDI,1.0/A.%5bTAG_GEO%5d.NV_AGR_TOTL_ZS?dimensionAtObservation=AllDimensions" TargetMode="External"/><Relationship Id="rId105" Type="http://schemas.openxmlformats.org/officeDocument/2006/relationships/hyperlink" Target="https://stats.pacificdata.org/vis?fs%5b0%5d=Development%20indicators,0%7CSustainable%20Development%20Goals%23SDG%23&amp;pg=0&amp;fc=Development%20indicators&amp;bp=true&amp;snb=18&amp;df%5bds%5d=ds%3ASPC2&amp;df%5bid%5d=DF_SDG_01&amp;df%5bag%5d=SPC&amp;df%5bvs%5d=4.3&amp;dq=A.G.SI_POV_NAHC.._T._T._T........&amp;pd=,&amp;to%5bTIME_PERIOD%5d=false" TargetMode="External"/><Relationship Id="rId126" Type="http://schemas.openxmlformats.org/officeDocument/2006/relationships/hyperlink" Target="https://stats.pacificdata.org/vis?fs%5b0%5d=Development%20indicators,0%7CSustainable%20Development%20Goals%23SDG%23&amp;pg=10&amp;fc=Development%20indicators&amp;bp=true&amp;snb=18&amp;df%5bds%5d=ds%3ASPC2&amp;df%5bid%5d=DF_SDG_11&amp;df%5bag%5d=SPC&amp;df%5bvs%5d=4.3&amp;dq=A.G.VC_DSR_GDPLS............&amp;pd=,&amp;to%5bTIME_PERIOD%5d=false&amp;isAvailabilityDisabled=false&amp;page=0" TargetMode="External"/><Relationship Id="rId147" Type="http://schemas.openxmlformats.org/officeDocument/2006/relationships/hyperlink" Target="https://stats.pacificdata.org/vis?tm=sdg%2017&amp;pg=0&amp;hc%5bdataflowId%5d=DF_SDG_17&amp;df%5bds%5d=ds%3ASPC2&amp;df%5bid%5d=DF_SDG_17&amp;df%5bag%5d=SPC&amp;df%5bvs%5d=3.0&amp;pd=%2C&amp;dq=A.SG_PLN_RECNDI.%5bTAG_GEO%5d._T._T._T...._Z.&amp;ly%5bcl%5d=TIME_PERIOD" TargetMode="External"/><Relationship Id="rId168" Type="http://schemas.openxmlformats.org/officeDocument/2006/relationships/hyperlink" Target="https://stats-nsi-stable.pacificdata.org/rest/data/SPC,DF_VITAL,1.0/A.%5bTAG_GEO%5d.TFR.?dimensionAtObservation=AllDimensions" TargetMode="External"/><Relationship Id="rId51" Type="http://schemas.openxmlformats.org/officeDocument/2006/relationships/hyperlink" Target="https://stats-nsi-stable.pacificdata.org/rest/data/SPC,DF_NMDI,1.0/A.%5bTAG_GEO%5d.NMDI0134._T._T._T..?dimensionAtObservation=AllDimensions" TargetMode="External"/><Relationship Id="rId72" Type="http://schemas.openxmlformats.org/officeDocument/2006/relationships/hyperlink" Target="https://stats-nsi-stable.pacificdata.org/rest/data/SPC,DF_WBWDI,1.0/A.%5bTAG_GEO%5d.SL_TLF_CACT_FM_ZS?dimensionAtObservation=AllDimensions" TargetMode="External"/><Relationship Id="rId93" Type="http://schemas.openxmlformats.org/officeDocument/2006/relationships/hyperlink" Target="https://stats.pacificdata.org/vis?lc=en&amp;df%5bds%5d=ds%3ASPC2&amp;df%5bid%5d=DF_NMDI_EDU&amp;df%5bag%5d=SPC&amp;df%5bvs%5d=1.0&amp;dq=A.%5bTAG_GEO%5d.NMDI0429._T._T._T..&amp;pd=%2C&amp;tm=education&amp;pg=0&amp;ly%5bcl%5d=TIME_PERIOD" TargetMode="External"/><Relationship Id="rId189" Type="http://schemas.openxmlformats.org/officeDocument/2006/relationships/hyperlink" Target="https://stats-sdmx-disseminate.pacificdata.org/rest/data/SPC,DF_PAM,1.0/A.VU+TV+TO+SB+WS+PG+PW+NU+NR+FM+MH+KI+FJ+CK.TRVAL._T.COM._T?dimensionAtObservation=AllDimensions" TargetMode="External"/><Relationship Id="rId3" Type="http://schemas.openxmlformats.org/officeDocument/2006/relationships/hyperlink" Target="https://stats-nsi-stable.pacificdata.org/rest/data/SPC,DF_POP_AGE,1.0/A.%5bTAG_GEO%5d.MEDIANAGE._T?dimensionAtObservation=AllDimensions" TargetMode="External"/><Relationship Id="rId214" Type="http://schemas.openxmlformats.org/officeDocument/2006/relationships/hyperlink" Target="https://stats.pacificdata.org/vis?dq=A.SH_MED_DEN.._T._T._T._T._T.221._Z._T&amp;pd=%2C&amp;frequency=A&amp;lc=en&amp;pg=0&amp;df%5bds%5d=SPC2&amp;df%5bid%5d=DF_SDG_03&amp;df%5bag%5d=SPC&amp;df%5bvs%5d=3.0&amp;ly%5bcl%5d=TIME_PERIOD&amp;to%5bTIME_PERIOD%5d=false" TargetMode="External"/><Relationship Id="rId235" Type="http://schemas.openxmlformats.org/officeDocument/2006/relationships/hyperlink" Target="https://stats.pacificdata.org/vis?lc=en&amp;df%5bds%5d=SPC2&amp;df%5bid%5d=DF_BP50&amp;df%5bag%5d=SPC&amp;df%5bvs%5d=1.0&amp;av=true&amp;lo=1&amp;lom=LASTNOBSERVATIONS&amp;dq=A.BPI_MANAGL2%2BBPI_MANASL2%2BBPI_MANAL1.._T._T._T._T._T._T._Z._T&amp;to%5bTIME_PERIOD%5d=false&amp;ly%5bcl%5d=INDICATOR&amp;ly%5brw%5d=GEO_PICT&amp;pd=%2C" TargetMode="External"/><Relationship Id="rId116" Type="http://schemas.openxmlformats.org/officeDocument/2006/relationships/hyperlink" Target="https://stats.pacificdata.org/vis?tm=nmdi&amp;pg=0&amp;df%5bds%5d=ds%3ASPC2&amp;df%5bid%5d=DF_NMDI_FIS&amp;df%5bag%5d=SPC&amp;df%5bvs%5d=1.0&amp;pd=%2C&amp;dq=A.%5bTAG_GEO%5d.NMDI0057._T._T._T.." TargetMode="External"/><Relationship Id="rId137" Type="http://schemas.openxmlformats.org/officeDocument/2006/relationships/hyperlink" Target="https://stats.pacificdata.org/vis?tm=voice%20and%20accountability&amp;pg=0&amp;hc%5bIndicator%5d=Voice%20and%20Accountability&amp;df%5bds%5d=ds%3ASPC2&amp;df%5bid%5d=DF_WBWGI&amp;df%5bag%5d=SPC&amp;df%5bvs%5d=1.0&amp;pd=%2C&amp;dq=A.%5bTAG_GEO%5d.PV_EST&amp;ly%5bcl%5d=TIME_PERIOD" TargetMode="External"/><Relationship Id="rId158" Type="http://schemas.openxmlformats.org/officeDocument/2006/relationships/hyperlink" Target="https://stats.pacificdata.org/vis?fs%5b0%5d=Topic%2C0%7CEconomy%23ECO%23&amp;pg=0&amp;fc=Topic&amp;df%5bds%5d=ds%3ASPC2&amp;df%5bid%5d=DF_NATIONAL_ACCOUNTS&amp;df%5bag%5d=SPC&amp;df%5bvs%5d=1.0&amp;pd=%2C2021&amp;dq=A.USD.%5bTAG_GEO%5d.GDPCVR&amp;ly%5bcl%5d=TIME_PERIOD" TargetMode="External"/><Relationship Id="rId20" Type="http://schemas.openxmlformats.org/officeDocument/2006/relationships/hyperlink" Target="https://stats-nsi-stable.pacificdata.org/rest/data/SPC,DF_SDG_03,3.0/A.SH_STA_BRTC.%5bTAG_GEO%5d._T._T._T..._T._Z.?dimensionAtObservation=AllDimensions" TargetMode="External"/><Relationship Id="rId41" Type="http://schemas.openxmlformats.org/officeDocument/2006/relationships/hyperlink" Target="https://stats-nsi-stable.pacificdata.org/rest/data/SPC,DF_OVERSEAS_VISITORS,2.0/A.%5bTAG_GEO%5d._T.NOSVA?dimensionAtObservation=AllDimensions" TargetMode="External"/><Relationship Id="rId62" Type="http://schemas.openxmlformats.org/officeDocument/2006/relationships/hyperlink" Target="https://stats-nsi-stable.pacificdata.org/rest/data/SPC,DF_WBWGI,1.0/A.%5bTAG_GEO%5d.VA_EST?dimensionAtObservation=AllDimensions" TargetMode="External"/><Relationship Id="rId83" Type="http://schemas.openxmlformats.org/officeDocument/2006/relationships/hyperlink" Target="https://stats.pacificdata.org/vis?lc=en&amp;df%5bds%5d=ds%3ASPC2&amp;df%5bid%5d=DF_POP_AGE&amp;df%5bag%5d=SPC&amp;df%5bvs%5d=1.0&amp;dq=A.%5bTAG_GEO%5d.DEPRATIO1564._T&amp;pd=%2C&amp;ly%5brw%5d=TIME_PERIOD" TargetMode="External"/><Relationship Id="rId179" Type="http://schemas.openxmlformats.org/officeDocument/2006/relationships/hyperlink" Target="https://stats-sdmx-disseminate.pacificdata.org/rest/data/SPC,DF_NMDI_HEA,1.0/A.%5bTAG_GEO%5d.NMDI0116.._T._T..?dimensionAtObservation=AllDimensions" TargetMode="External"/><Relationship Id="rId190" Type="http://schemas.openxmlformats.org/officeDocument/2006/relationships/hyperlink" Target="https://stats.pacificdata.org/vis?lc=en&amp;tm=Total%20donors&amp;pg=0&amp;hc%5bFlow%20type%5d=Total&amp;hc%5bDonor%5d=Total&amp;snb=3&amp;df%5bds%5d=ds%3ASPC2&amp;df%5bid%5d=DF_PAM&amp;df%5bag%5d=SPC&amp;df%5bvs%5d=1.0&amp;pd=%2C&amp;dq=A.VU%2BTV%2BTO%2BSB%2BWS%2BPG%2BPW%2BNU%2BNR%2BFM%2BMH%2BKI%2BFJ%2BCK.TRVAL._T.SPE._T&amp;ly%5bcl%5d=TIME_PERIOD&amp;ly%5brw%5d=GEO_PICT&amp;to%5bTIME_PERIOD%5d=false" TargetMode="External"/><Relationship Id="rId204" Type="http://schemas.openxmlformats.org/officeDocument/2006/relationships/hyperlink" Target="https://stats.pacificdata.org/vis?tm=proficiency&amp;pg=0&amp;snb=4&amp;df%5bds%5d=ds%3ASPC2&amp;df%5bid%5d=DF_SDG_04&amp;df%5bag%5d=SPC&amp;df%5bvs%5d=3.0&amp;pd=%2C&amp;dq=A.SE_TOT_PRFL..F._T._T._T.1_g7%2B1_y6..SKILL_MIN_LTRCY.&amp;ly%5brw%5d=GEO_PICT%2CEDUCATION%2CCOMPOSITE_BREAKDOWN&amp;ly%5bcl%5d=TIME_PERIOD&amp;ly%5brs%5d=INDICATOR&amp;to%5bTIME_PERIOD%5d=false" TargetMode="External"/><Relationship Id="rId225" Type="http://schemas.openxmlformats.org/officeDocument/2006/relationships/hyperlink" Target="https://stats.pacificdata.org/vis?fs%5b0%5d=Development%20indicators%2C0%7CNational%20Minimum%20Development%20Indicators%23NMDI%23&amp;pg=0&amp;fc=Development%20indicators&amp;bp=true&amp;snb=8&amp;df%5bds%5d=ds%3ASPC2&amp;df%5bid%5d=DF_NMDI_HEA&amp;df%5bag%5d=SPC&amp;df%5bvs%5d=1.0&amp;pd=%2C&amp;dq=A..NMDI0103._T._T._T..&amp;ly%5brw%5d=GEO_PICT&amp;ly%5bcl%5d=TIME_PERIOD&amp;to%5bTIME_PERIOD%5d=false" TargetMode="External"/><Relationship Id="rId246" Type="http://schemas.openxmlformats.org/officeDocument/2006/relationships/hyperlink" Target="https://stats.pacificdata.org/vis?tm=population%20structure%20by%20age&amp;pg=0&amp;snb=2&amp;df%5bds%5d=ds%3ASPC2&amp;df%5bid%5d=DF_POP_AGE&amp;df%5bag%5d=SPC&amp;df%5bvs%5d=1.0&amp;dq=A..POP15T64%2BPOP15T59%2BPOP00T14%2BDEPRATIO1559%2BDEPRATIO1564._T&amp;pd=2022%2C2022&amp;to%5bTIME_PERIOD%5d=false&amp;ly%5bcl%5d=INDICATOR%2CUNIT&amp;ly%5brw%5d=GEO_PICT" TargetMode="External"/><Relationship Id="rId106" Type="http://schemas.openxmlformats.org/officeDocument/2006/relationships/hyperlink" Target="https://stats.pacificdata.org/vis?tm=decent%20work&amp;pg=0&amp;df%5bds%5d=ds%3ASPC2&amp;df%5bid%5d=DF_SDG_08&amp;df%5bag%5d=SPC&amp;df%5bvs%5d=3.0&amp;pd=%2C&amp;dq=A.SL_EMP_EARN.%5bTAG_GEO%5d._T._T._T..._T.._T" TargetMode="External"/><Relationship Id="rId127" Type="http://schemas.openxmlformats.org/officeDocument/2006/relationships/hyperlink" Target="https://stats.pacificdata.org/vis?tm=rural%20population&amp;pg=0&amp;hc%5bTopic%5d=Population&amp;hc%5bUrbanization%5d=Rural&amp;df%5bds%5d=ds%3ASPC2&amp;df%5bid%5d=DF_POP_URBAN&amp;df%5bag%5d=SPC&amp;df%5bvs%5d=1.0&amp;pd=%2C&amp;dq=A.%5bTAG_GEO%5d.POPRFCOU.R" TargetMode="External"/><Relationship Id="rId10" Type="http://schemas.openxmlformats.org/officeDocument/2006/relationships/hyperlink" Target="https://stats-nsi-stable.pacificdata.org/rest/data/SPC,DF_SDG_03,3.0/A.SH_STA_MORT.%5bTAG_GEO%5d.F._T._T..._T._Z.?dimensionAtObservation=AllDimensions" TargetMode="External"/><Relationship Id="rId31" Type="http://schemas.openxmlformats.org/officeDocument/2006/relationships/hyperlink" Target="https://stats-nsi-stable.pacificdata.org/rest/data/SPC,DF_WBWDI,1.0/A.%5bTAG_GEO%5d.NV_IND_TOTL_ZS?dimensionAtObservation=AllDimensions" TargetMode="External"/><Relationship Id="rId52" Type="http://schemas.openxmlformats.org/officeDocument/2006/relationships/hyperlink" Target="https://stats-nsi-stable.pacificdata.org/rest/data/SPC,DF_NMDI,1.0/A.%5bTAG_GEO%5d.NMDI0133._T._T._T..?dimensionAtObservation=AllDimensions" TargetMode="External"/><Relationship Id="rId73" Type="http://schemas.openxmlformats.org/officeDocument/2006/relationships/hyperlink" Target="https://stats-nsi-stable.pacificdata.org/rest/data/SPC,DF_SDG_05,3.0/A.VC_VAW_MARR.%5bTAG_GEO%5d.F.Y15T999._T..._T._Z.?dimensionAtObservation=AllDimensions" TargetMode="External"/><Relationship Id="rId94" Type="http://schemas.openxmlformats.org/officeDocument/2006/relationships/hyperlink" Target="https://stats.pacificdata.org/vis?fs%5b0%5d=Development%20indicators%2C0%7CSustainable%20Development%20Goals%23SDG%23&amp;pg=0&amp;fc=Development%20indicators&amp;bp=true&amp;snb=18&amp;df%5bds%5d=ds%3ASPC2&amp;df%5bid%5d=DF_SDG_03&amp;df%5bag%5d=SPC&amp;df%5bvs%5d=3.0&amp;dq=A.SH_DTH_NCD.._T._T._T..._T._Z.&amp;pd=%2C&amp;to%5bTIME_PERIOD%5d=false&amp;ly%5bcl%5d=TIME_PERIOD&amp;ly%5brw%5d=GEO_PICT" TargetMode="External"/><Relationship Id="rId148" Type="http://schemas.openxmlformats.org/officeDocument/2006/relationships/hyperlink" Target="https://stats.pacificdata.org/vis?dq=A.SH_MED_DEN.%5bTAG_GEO%5d._T._T._T._T._T.222._Z._T&amp;pd=%2C&amp;frequency=A&amp;lc=en&amp;pg=0&amp;df%5bds%5d=SPC2&amp;df%5bid%5d=DF_SDG_03&amp;df%5bag%5d=SPC&amp;df%5bvs%5d=3.0&amp;ly%5bcl%5d=TIME_PERIOD" TargetMode="External"/><Relationship Id="rId169" Type="http://schemas.openxmlformats.org/officeDocument/2006/relationships/hyperlink" Target="https://stats.pacificdata.org/vis?fs%5b0%5d=Development%20indicators,0%7CSustainable%20Development%20Goals%23SDG%23&amp;pg=0&amp;fc=Development%20indicators&amp;bp=true&amp;snb=18&amp;df%5bds%5d=ds%3ASPC2&amp;df%5bid%5d=DF_SDG_05&amp;df%5bag%5d=SPC&amp;pd=2025,&amp;dq=A..............&amp;to%5bTIME_PERIOD%5d=false" TargetMode="External"/><Relationship Id="rId4" Type="http://schemas.openxmlformats.org/officeDocument/2006/relationships/hyperlink" Target="https://stats-nsi-stable.pacificdata.org/rest/data/SPC,DF_POP_PROJ,3.0/A.%5bTAG_GEO%5d.POPYGR._T._T?dimensionAtObservation=AllDimensions" TargetMode="External"/><Relationship Id="rId180" Type="http://schemas.openxmlformats.org/officeDocument/2006/relationships/hyperlink" Target="https://stats-sdmx-disseminate.pacificdata.org/rest/data/SPC,DF_KEYFACTS,/A..GOV?startPeriod=2020&amp;dimensionAtObservation=AllDimensions" TargetMode="External"/><Relationship Id="rId215" Type="http://schemas.openxmlformats.org/officeDocument/2006/relationships/hyperlink" Target="https://stats.pacificdata.org/vis?dq=A.SH_MED_DEN.._T._T._T._T._T.2261._Z._T&amp;pd=%2C&amp;frequency=A&amp;lc=en&amp;pg=0&amp;df%5bds%5d=SPC2&amp;df%5bid%5d=DF_SDG_03&amp;df%5bag%5d=SPC&amp;df%5bvs%5d=3.0&amp;ly%5bcl%5d=TIME_PERIOD&amp;to%5bTIME_PERIOD%5d=false" TargetMode="External"/><Relationship Id="rId236" Type="http://schemas.openxmlformats.org/officeDocument/2006/relationships/hyperlink" Target="https://stats-sdmx-disseminate.pacificdata.org/rest/data/SPC,DF_BP50,1.0/A.BPI_MANAGL2+BPI_MANASL2+BPI_MANAL1.._T._T._T._T._T._T._Z._T?lastNObservations=1&amp;dimensionAtObservation=AllDimension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ats.pacificdata.org/vis?dq=A.SH_MED_DEN.._T._T._T._T._T.2222%2B222%2B2221._Z._T&amp;pd=%2C&amp;frequency=A&amp;lc=en&amp;pg=0&amp;df%5bds%5d=SPC2&amp;df%5bid%5d=DF_SDG_03&amp;df%5bag%5d=SPC&amp;df%5bvs%5d=3.0&amp;ly%5brw%5d=GEO_PICT%2COCCUPATION&amp;ly%5bcl%5d=TIME_PERI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workbookViewId="0">
      <pane ySplit="1" topLeftCell="A2" activePane="bottomLeft" state="frozen"/>
      <selection pane="bottomLeft" activeCell="A2" sqref="A2"/>
    </sheetView>
  </sheetViews>
  <sheetFormatPr defaultColWidth="9.1796875" defaultRowHeight="14.5" x14ac:dyDescent="0.35"/>
  <cols>
    <col min="1" max="1" width="4.7265625" style="20" bestFit="1" customWidth="1"/>
    <col min="2" max="2" width="6.1796875" style="20" bestFit="1" customWidth="1"/>
    <col min="3" max="3" width="4" bestFit="1" customWidth="1"/>
    <col min="4" max="4" width="30.26953125" bestFit="1" customWidth="1"/>
    <col min="5" max="5" width="4.54296875" bestFit="1" customWidth="1"/>
  </cols>
  <sheetData>
    <row r="1" spans="1:5" x14ac:dyDescent="0.35">
      <c r="A1" s="26" t="s">
        <v>0</v>
      </c>
      <c r="B1" s="26" t="s">
        <v>1</v>
      </c>
      <c r="C1" s="1" t="s">
        <v>2</v>
      </c>
      <c r="D1" s="1" t="s">
        <v>3</v>
      </c>
      <c r="E1" s="1" t="s">
        <v>4</v>
      </c>
    </row>
    <row r="2" spans="1:5" x14ac:dyDescent="0.35">
      <c r="A2" s="20">
        <v>0</v>
      </c>
      <c r="B2" s="20">
        <v>0</v>
      </c>
      <c r="C2" t="s">
        <v>5</v>
      </c>
      <c r="D2" t="s">
        <v>6</v>
      </c>
      <c r="E2" t="s">
        <v>7</v>
      </c>
    </row>
    <row r="3" spans="1:5" x14ac:dyDescent="0.35">
      <c r="A3" s="20">
        <v>0</v>
      </c>
      <c r="B3" s="20">
        <v>1</v>
      </c>
      <c r="C3" t="s">
        <v>8</v>
      </c>
      <c r="D3" t="s">
        <v>9</v>
      </c>
      <c r="E3" t="s">
        <v>7</v>
      </c>
    </row>
    <row r="4" spans="1:5" x14ac:dyDescent="0.35">
      <c r="A4" s="20">
        <v>0</v>
      </c>
      <c r="B4" s="20">
        <v>1</v>
      </c>
      <c r="C4" t="s">
        <v>10</v>
      </c>
      <c r="D4" t="s">
        <v>11</v>
      </c>
      <c r="E4" t="s">
        <v>12</v>
      </c>
    </row>
    <row r="5" spans="1:5" x14ac:dyDescent="0.35">
      <c r="A5" s="20">
        <v>0</v>
      </c>
      <c r="B5" s="20">
        <v>1</v>
      </c>
      <c r="C5" t="s">
        <v>13</v>
      </c>
      <c r="D5" t="s">
        <v>14</v>
      </c>
      <c r="E5" t="s">
        <v>15</v>
      </c>
    </row>
    <row r="6" spans="1:5" x14ac:dyDescent="0.35">
      <c r="A6" s="20">
        <v>0</v>
      </c>
      <c r="B6" s="20">
        <v>0</v>
      </c>
      <c r="C6" t="s">
        <v>16</v>
      </c>
      <c r="D6" t="s">
        <v>17</v>
      </c>
      <c r="E6" t="s">
        <v>15</v>
      </c>
    </row>
    <row r="7" spans="1:5" x14ac:dyDescent="0.35">
      <c r="A7" s="20">
        <v>0</v>
      </c>
      <c r="B7" s="20">
        <v>1</v>
      </c>
      <c r="C7" t="s">
        <v>18</v>
      </c>
      <c r="D7" t="s">
        <v>19</v>
      </c>
      <c r="E7" t="s">
        <v>15</v>
      </c>
    </row>
    <row r="8" spans="1:5" x14ac:dyDescent="0.35">
      <c r="A8" s="20">
        <v>0</v>
      </c>
      <c r="B8" s="20">
        <v>1</v>
      </c>
      <c r="C8" t="s">
        <v>20</v>
      </c>
      <c r="D8" t="s">
        <v>21</v>
      </c>
      <c r="E8" t="s">
        <v>15</v>
      </c>
    </row>
    <row r="9" spans="1:5" x14ac:dyDescent="0.35">
      <c r="A9" s="20">
        <v>0</v>
      </c>
      <c r="B9" s="20">
        <v>0</v>
      </c>
      <c r="C9" t="s">
        <v>22</v>
      </c>
      <c r="D9" t="s">
        <v>23</v>
      </c>
      <c r="E9" t="s">
        <v>15</v>
      </c>
    </row>
    <row r="10" spans="1:5" x14ac:dyDescent="0.35">
      <c r="A10" s="20">
        <v>0</v>
      </c>
      <c r="B10" s="20">
        <v>0</v>
      </c>
      <c r="C10" t="s">
        <v>24</v>
      </c>
      <c r="D10" t="s">
        <v>25</v>
      </c>
      <c r="E10" t="s">
        <v>12</v>
      </c>
    </row>
    <row r="11" spans="1:5" x14ac:dyDescent="0.35">
      <c r="A11" s="20">
        <v>0</v>
      </c>
      <c r="B11" s="20">
        <v>1</v>
      </c>
      <c r="C11" t="s">
        <v>26</v>
      </c>
      <c r="D11" t="s">
        <v>27</v>
      </c>
      <c r="E11" t="s">
        <v>15</v>
      </c>
    </row>
    <row r="12" spans="1:5" x14ac:dyDescent="0.35">
      <c r="A12" s="20">
        <v>0</v>
      </c>
      <c r="B12" s="20">
        <v>1</v>
      </c>
      <c r="C12" t="s">
        <v>28</v>
      </c>
      <c r="D12" t="s">
        <v>29</v>
      </c>
      <c r="E12" t="s">
        <v>7</v>
      </c>
    </row>
    <row r="13" spans="1:5" x14ac:dyDescent="0.35">
      <c r="A13" s="20">
        <v>0</v>
      </c>
      <c r="B13" s="20">
        <v>0</v>
      </c>
      <c r="C13" t="s">
        <v>30</v>
      </c>
      <c r="D13" t="s">
        <v>31</v>
      </c>
      <c r="E13" t="s">
        <v>7</v>
      </c>
    </row>
    <row r="14" spans="1:5" x14ac:dyDescent="0.35">
      <c r="A14" s="20">
        <v>0</v>
      </c>
      <c r="B14" s="20">
        <v>1</v>
      </c>
      <c r="C14" t="s">
        <v>32</v>
      </c>
      <c r="D14" t="s">
        <v>33</v>
      </c>
      <c r="E14" t="s">
        <v>12</v>
      </c>
    </row>
    <row r="15" spans="1:5" x14ac:dyDescent="0.35">
      <c r="A15" s="20">
        <v>0</v>
      </c>
      <c r="B15" s="20">
        <v>0</v>
      </c>
      <c r="C15" t="s">
        <v>34</v>
      </c>
      <c r="D15" t="s">
        <v>35</v>
      </c>
      <c r="E15" t="s">
        <v>7</v>
      </c>
    </row>
    <row r="16" spans="1:5" x14ac:dyDescent="0.35">
      <c r="A16" s="20">
        <v>0</v>
      </c>
      <c r="B16" s="20">
        <v>1</v>
      </c>
      <c r="C16" t="s">
        <v>36</v>
      </c>
      <c r="D16" t="s">
        <v>37</v>
      </c>
      <c r="E16" t="s">
        <v>15</v>
      </c>
    </row>
    <row r="17" spans="1:5" x14ac:dyDescent="0.35">
      <c r="A17" s="20">
        <v>0</v>
      </c>
      <c r="B17" s="20">
        <v>1</v>
      </c>
      <c r="C17" t="s">
        <v>38</v>
      </c>
      <c r="D17" t="s">
        <v>39</v>
      </c>
      <c r="E17" t="s">
        <v>12</v>
      </c>
    </row>
    <row r="18" spans="1:5" x14ac:dyDescent="0.35">
      <c r="A18" s="20">
        <v>0</v>
      </c>
      <c r="B18" s="20">
        <v>1</v>
      </c>
      <c r="C18" t="s">
        <v>40</v>
      </c>
      <c r="D18" t="s">
        <v>41</v>
      </c>
      <c r="E18" t="s">
        <v>7</v>
      </c>
    </row>
    <row r="19" spans="1:5" x14ac:dyDescent="0.35">
      <c r="A19" s="20">
        <v>0</v>
      </c>
      <c r="B19" s="20">
        <v>1</v>
      </c>
      <c r="C19" t="s">
        <v>42</v>
      </c>
      <c r="D19" t="s">
        <v>43</v>
      </c>
      <c r="E19" t="s">
        <v>7</v>
      </c>
    </row>
    <row r="20" spans="1:5" x14ac:dyDescent="0.35">
      <c r="A20" s="20">
        <v>0</v>
      </c>
      <c r="B20" s="20">
        <v>1</v>
      </c>
      <c r="C20" t="s">
        <v>44</v>
      </c>
      <c r="D20" t="s">
        <v>45</v>
      </c>
      <c r="E20" t="s">
        <v>7</v>
      </c>
    </row>
    <row r="21" spans="1:5" x14ac:dyDescent="0.35">
      <c r="A21" s="20">
        <v>0</v>
      </c>
      <c r="B21" s="20">
        <v>1</v>
      </c>
      <c r="C21" t="s">
        <v>46</v>
      </c>
      <c r="D21" t="s">
        <v>47</v>
      </c>
      <c r="E21" t="s">
        <v>12</v>
      </c>
    </row>
    <row r="22" spans="1:5" x14ac:dyDescent="0.35">
      <c r="A22" s="20">
        <v>0</v>
      </c>
      <c r="B22" s="20">
        <v>0</v>
      </c>
      <c r="C22" t="s">
        <v>48</v>
      </c>
      <c r="D22" t="s">
        <v>49</v>
      </c>
      <c r="E22" t="s">
        <v>7</v>
      </c>
    </row>
    <row r="23" spans="1:5" x14ac:dyDescent="0.35">
      <c r="A23" s="20">
        <v>1</v>
      </c>
      <c r="B23" s="20">
        <v>1</v>
      </c>
      <c r="C23" t="s">
        <v>50</v>
      </c>
      <c r="D23" t="s">
        <v>51</v>
      </c>
      <c r="E23" t="s">
        <v>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F736-A2DB-4397-BE02-3FC9A58CEEFF}">
  <dimension ref="A1:N165"/>
  <sheetViews>
    <sheetView zoomScale="90" zoomScaleNormal="90" workbookViewId="0">
      <pane xSplit="5" ySplit="2" topLeftCell="F58" activePane="bottomRight" state="frozenSplit"/>
      <selection pane="topRight" activeCell="E1" sqref="E1"/>
      <selection pane="bottomLeft" activeCell="A8" sqref="A8"/>
      <selection pane="bottomRight"/>
    </sheetView>
  </sheetViews>
  <sheetFormatPr defaultColWidth="11.453125" defaultRowHeight="14.5" x14ac:dyDescent="0.35"/>
  <cols>
    <col min="1" max="1" width="6" style="20" customWidth="1"/>
    <col min="2" max="2" width="3.7265625" style="20" bestFit="1" customWidth="1"/>
    <col min="3" max="3" width="10.81640625" bestFit="1" customWidth="1"/>
    <col min="4" max="4" width="6" bestFit="1" customWidth="1"/>
    <col min="5" max="5" width="70.81640625" customWidth="1"/>
    <col min="6" max="6" width="60.54296875" customWidth="1"/>
    <col min="7" max="7" width="8.7265625" customWidth="1"/>
    <col min="8" max="8" width="15.7265625" customWidth="1"/>
    <col min="9" max="9" width="171.81640625" bestFit="1" customWidth="1"/>
    <col min="10" max="10" width="10.7265625" style="23" bestFit="1" customWidth="1"/>
    <col min="11" max="11" width="25.54296875" style="23" bestFit="1" customWidth="1"/>
    <col min="12" max="14" width="11.453125" style="23"/>
  </cols>
  <sheetData>
    <row r="1" spans="1:13" x14ac:dyDescent="0.35">
      <c r="A1" s="19" t="s">
        <v>52</v>
      </c>
      <c r="B1" s="19" t="s">
        <v>0</v>
      </c>
      <c r="C1" s="2" t="s">
        <v>53</v>
      </c>
      <c r="D1" s="2" t="s">
        <v>54</v>
      </c>
      <c r="E1" s="2" t="s">
        <v>3</v>
      </c>
      <c r="F1" s="2" t="s">
        <v>55</v>
      </c>
      <c r="G1" s="2" t="s">
        <v>56</v>
      </c>
      <c r="H1" s="2" t="s">
        <v>57</v>
      </c>
      <c r="I1" s="2" t="s">
        <v>58</v>
      </c>
      <c r="J1" s="22" t="s">
        <v>59</v>
      </c>
      <c r="K1" s="22" t="s">
        <v>60</v>
      </c>
      <c r="L1" s="22" t="s">
        <v>59</v>
      </c>
      <c r="M1" s="22" t="s">
        <v>61</v>
      </c>
    </row>
    <row r="2" spans="1:13" x14ac:dyDescent="0.35">
      <c r="A2" s="20">
        <v>1</v>
      </c>
      <c r="B2" s="20">
        <v>1</v>
      </c>
      <c r="C2" s="3" t="s">
        <v>62</v>
      </c>
      <c r="D2" s="3" t="s">
        <v>63</v>
      </c>
      <c r="E2" s="3" t="s">
        <v>64</v>
      </c>
      <c r="F2" s="3"/>
      <c r="G2" s="3" t="s">
        <v>65</v>
      </c>
      <c r="H2" s="3" t="s">
        <v>65</v>
      </c>
      <c r="I2" s="3" t="s">
        <v>65</v>
      </c>
      <c r="J2" s="25" t="s">
        <v>65</v>
      </c>
      <c r="K2" s="23" t="str">
        <f t="shared" ref="K2:K84" si="0">IF(I2="-", "-", LEFT(RIGHT(I2, LEN(I2)-FIND("SPC,", I2)-3), FIND(",", RIGHT(I2, LEN(I2)-FIND("SPC,", I2)-3))-1))</f>
        <v>-</v>
      </c>
    </row>
    <row r="3" spans="1:13" x14ac:dyDescent="0.35">
      <c r="A3" s="20">
        <v>2</v>
      </c>
      <c r="B3" s="20">
        <v>1</v>
      </c>
      <c r="C3" t="s">
        <v>66</v>
      </c>
      <c r="D3" t="s">
        <v>67</v>
      </c>
      <c r="E3" t="s">
        <v>68</v>
      </c>
      <c r="F3" t="s">
        <v>68</v>
      </c>
      <c r="G3" t="s">
        <v>69</v>
      </c>
      <c r="H3" s="4" t="s">
        <v>70</v>
      </c>
      <c r="I3" s="4" t="s">
        <v>71</v>
      </c>
      <c r="J3" s="23" t="s">
        <v>65</v>
      </c>
      <c r="K3" s="23" t="str">
        <f t="shared" si="0"/>
        <v>DF_KEYFACTS</v>
      </c>
      <c r="L3" s="23" t="s">
        <v>72</v>
      </c>
    </row>
    <row r="4" spans="1:13" x14ac:dyDescent="0.35">
      <c r="A4" s="20">
        <v>3</v>
      </c>
      <c r="B4" s="20">
        <v>1</v>
      </c>
      <c r="C4" t="s">
        <v>66</v>
      </c>
      <c r="D4" t="s">
        <v>73</v>
      </c>
      <c r="E4" t="s">
        <v>74</v>
      </c>
      <c r="F4" t="s">
        <v>74</v>
      </c>
      <c r="G4" t="s">
        <v>69</v>
      </c>
      <c r="H4" t="s">
        <v>65</v>
      </c>
      <c r="I4" t="s">
        <v>65</v>
      </c>
      <c r="J4" s="23" t="s">
        <v>65</v>
      </c>
      <c r="K4" s="23" t="str">
        <f t="shared" si="0"/>
        <v>-</v>
      </c>
    </row>
    <row r="5" spans="1:13" x14ac:dyDescent="0.35">
      <c r="A5" s="20">
        <v>4</v>
      </c>
      <c r="B5" s="20">
        <v>1</v>
      </c>
      <c r="C5" t="s">
        <v>66</v>
      </c>
      <c r="D5" t="s">
        <v>75</v>
      </c>
      <c r="E5" t="s">
        <v>76</v>
      </c>
      <c r="F5" t="s">
        <v>76</v>
      </c>
      <c r="G5" t="s">
        <v>69</v>
      </c>
      <c r="H5" t="s">
        <v>65</v>
      </c>
      <c r="I5" t="s">
        <v>65</v>
      </c>
      <c r="J5" s="23" t="s">
        <v>65</v>
      </c>
      <c r="K5" s="23" t="str">
        <f t="shared" si="0"/>
        <v>-</v>
      </c>
    </row>
    <row r="6" spans="1:13" x14ac:dyDescent="0.35">
      <c r="A6" s="20">
        <v>5</v>
      </c>
      <c r="B6" s="20">
        <v>1</v>
      </c>
      <c r="C6" t="s">
        <v>66</v>
      </c>
      <c r="D6" t="s">
        <v>77</v>
      </c>
      <c r="E6" t="s">
        <v>78</v>
      </c>
      <c r="F6" t="s">
        <v>79</v>
      </c>
      <c r="G6" t="s">
        <v>69</v>
      </c>
      <c r="H6" s="5" t="s">
        <v>80</v>
      </c>
      <c r="I6" s="5" t="s">
        <v>81</v>
      </c>
      <c r="J6" s="23" t="s">
        <v>65</v>
      </c>
      <c r="K6" s="23" t="str">
        <f t="shared" si="0"/>
        <v>DF_SDG_05</v>
      </c>
    </row>
    <row r="7" spans="1:13" x14ac:dyDescent="0.35">
      <c r="A7" s="20">
        <v>6</v>
      </c>
      <c r="B7" s="20">
        <v>1</v>
      </c>
      <c r="C7" t="s">
        <v>66</v>
      </c>
      <c r="D7" t="s">
        <v>82</v>
      </c>
      <c r="E7" t="s">
        <v>83</v>
      </c>
      <c r="F7" t="s">
        <v>83</v>
      </c>
      <c r="G7" t="s">
        <v>69</v>
      </c>
      <c r="H7" s="4" t="s">
        <v>84</v>
      </c>
      <c r="I7" s="4" t="s">
        <v>85</v>
      </c>
      <c r="J7" s="23" t="s">
        <v>65</v>
      </c>
      <c r="K7" s="23" t="str">
        <f>IF(I7="-", "-", LEFT(RIGHT(I7, LEN(I7)-FIND("SPC,", I7)-3), FIND(",", RIGHT(I7, LEN(I7)-FIND("SPC,", I7)-3))-1))</f>
        <v>DF_POP_PROJ</v>
      </c>
    </row>
    <row r="8" spans="1:13" x14ac:dyDescent="0.35">
      <c r="A8" s="20">
        <v>7</v>
      </c>
      <c r="B8" s="20">
        <v>1</v>
      </c>
      <c r="C8" t="s">
        <v>66</v>
      </c>
      <c r="D8" t="s">
        <v>86</v>
      </c>
      <c r="E8" t="s">
        <v>87</v>
      </c>
      <c r="F8" t="s">
        <v>87</v>
      </c>
      <c r="G8" t="s">
        <v>69</v>
      </c>
      <c r="H8" s="4" t="s">
        <v>88</v>
      </c>
      <c r="I8" s="4" t="s">
        <v>89</v>
      </c>
      <c r="J8" s="23" t="s">
        <v>65</v>
      </c>
      <c r="K8" s="23" t="str">
        <f t="shared" si="0"/>
        <v>DF_POP_URBAN</v>
      </c>
    </row>
    <row r="9" spans="1:13" x14ac:dyDescent="0.35">
      <c r="A9" s="20">
        <v>8</v>
      </c>
      <c r="B9" s="20">
        <v>1</v>
      </c>
      <c r="C9" t="s">
        <v>66</v>
      </c>
      <c r="D9" t="s">
        <v>90</v>
      </c>
      <c r="E9" t="s">
        <v>91</v>
      </c>
      <c r="F9" t="s">
        <v>91</v>
      </c>
      <c r="G9" t="s">
        <v>69</v>
      </c>
      <c r="H9" s="4" t="s">
        <v>92</v>
      </c>
      <c r="I9" s="4" t="s">
        <v>93</v>
      </c>
      <c r="J9" s="23" t="s">
        <v>65</v>
      </c>
      <c r="K9" s="23" t="str">
        <f t="shared" si="0"/>
        <v>DF_POP_AGE</v>
      </c>
    </row>
    <row r="10" spans="1:13" x14ac:dyDescent="0.35">
      <c r="A10" s="20">
        <v>9</v>
      </c>
      <c r="B10" s="20">
        <v>1</v>
      </c>
      <c r="C10" t="s">
        <v>66</v>
      </c>
      <c r="D10" t="s">
        <v>94</v>
      </c>
      <c r="E10" t="s">
        <v>95</v>
      </c>
      <c r="F10" t="s">
        <v>95</v>
      </c>
      <c r="G10" t="s">
        <v>69</v>
      </c>
      <c r="H10" s="4" t="s">
        <v>96</v>
      </c>
      <c r="I10" s="4" t="s">
        <v>97</v>
      </c>
      <c r="J10" s="23" t="s">
        <v>65</v>
      </c>
      <c r="K10" s="23" t="str">
        <f t="shared" si="0"/>
        <v>DF_POP_PROJ</v>
      </c>
    </row>
    <row r="11" spans="1:13" x14ac:dyDescent="0.35">
      <c r="A11" s="20">
        <v>10</v>
      </c>
      <c r="B11" s="20">
        <v>1</v>
      </c>
      <c r="C11" t="s">
        <v>66</v>
      </c>
      <c r="D11" t="s">
        <v>98</v>
      </c>
      <c r="E11" t="s">
        <v>99</v>
      </c>
      <c r="F11" t="s">
        <v>99</v>
      </c>
      <c r="G11" t="s">
        <v>69</v>
      </c>
      <c r="H11" s="4" t="s">
        <v>100</v>
      </c>
      <c r="I11" s="4" t="s">
        <v>101</v>
      </c>
      <c r="J11" s="23" t="s">
        <v>65</v>
      </c>
      <c r="K11" s="23" t="str">
        <f t="shared" si="0"/>
        <v>DF_HHCOUNTS</v>
      </c>
    </row>
    <row r="12" spans="1:13" x14ac:dyDescent="0.35">
      <c r="A12" s="20">
        <v>11</v>
      </c>
      <c r="B12" s="20">
        <v>1</v>
      </c>
      <c r="C12" t="s">
        <v>66</v>
      </c>
      <c r="D12" t="s">
        <v>102</v>
      </c>
      <c r="E12" t="s">
        <v>103</v>
      </c>
      <c r="F12" t="s">
        <v>103</v>
      </c>
      <c r="G12" t="s">
        <v>69</v>
      </c>
      <c r="H12" s="4" t="s">
        <v>104</v>
      </c>
      <c r="I12" s="4" t="s">
        <v>105</v>
      </c>
      <c r="J12" s="23" t="s">
        <v>65</v>
      </c>
      <c r="K12" s="23" t="str">
        <f t="shared" si="0"/>
        <v>DF_POP_DENSITY</v>
      </c>
    </row>
    <row r="13" spans="1:13" x14ac:dyDescent="0.35">
      <c r="A13" s="20">
        <v>12</v>
      </c>
      <c r="B13" s="20">
        <v>1</v>
      </c>
      <c r="C13" t="s">
        <v>66</v>
      </c>
      <c r="D13" t="s">
        <v>106</v>
      </c>
      <c r="E13" t="s">
        <v>107</v>
      </c>
      <c r="F13" t="s">
        <v>108</v>
      </c>
      <c r="G13" t="s">
        <v>69</v>
      </c>
      <c r="H13" s="4" t="s">
        <v>109</v>
      </c>
      <c r="I13" s="4" t="s">
        <v>110</v>
      </c>
      <c r="J13" s="23" t="s">
        <v>65</v>
      </c>
      <c r="K13" s="23" t="str">
        <f t="shared" si="0"/>
        <v>DF_POP_AGE</v>
      </c>
    </row>
    <row r="14" spans="1:13" x14ac:dyDescent="0.35">
      <c r="A14" s="20">
        <v>13</v>
      </c>
      <c r="B14" s="20">
        <v>1</v>
      </c>
      <c r="C14" t="s">
        <v>66</v>
      </c>
      <c r="D14" t="s">
        <v>111</v>
      </c>
      <c r="E14" s="23" t="s">
        <v>112</v>
      </c>
      <c r="F14" t="s">
        <v>113</v>
      </c>
      <c r="G14" t="s">
        <v>69</v>
      </c>
      <c r="H14" s="4" t="s">
        <v>114</v>
      </c>
      <c r="I14" s="4" t="s">
        <v>115</v>
      </c>
      <c r="J14" s="23" t="s">
        <v>65</v>
      </c>
      <c r="K14" s="23" t="str">
        <f t="shared" si="0"/>
        <v>DF_POP_AGE</v>
      </c>
      <c r="L14" s="23" t="s">
        <v>116</v>
      </c>
    </row>
    <row r="15" spans="1:13" x14ac:dyDescent="0.35">
      <c r="A15" s="20">
        <v>14</v>
      </c>
      <c r="B15" s="20">
        <v>1</v>
      </c>
      <c r="C15" t="s">
        <v>66</v>
      </c>
      <c r="D15" t="s">
        <v>117</v>
      </c>
      <c r="E15" t="s">
        <v>118</v>
      </c>
      <c r="F15" t="s">
        <v>118</v>
      </c>
      <c r="G15" t="s">
        <v>69</v>
      </c>
      <c r="H15" s="4" t="s">
        <v>119</v>
      </c>
      <c r="I15" s="4" t="s">
        <v>120</v>
      </c>
      <c r="J15" s="23" t="s">
        <v>65</v>
      </c>
      <c r="K15" s="23" t="str">
        <f t="shared" si="0"/>
        <v>DF_POP_COAST</v>
      </c>
    </row>
    <row r="16" spans="1:13" x14ac:dyDescent="0.35">
      <c r="A16" s="20">
        <v>15</v>
      </c>
      <c r="B16" s="20">
        <v>1</v>
      </c>
      <c r="C16" t="s">
        <v>66</v>
      </c>
      <c r="D16" t="s">
        <v>121</v>
      </c>
      <c r="E16" t="s">
        <v>122</v>
      </c>
      <c r="F16" t="s">
        <v>122</v>
      </c>
      <c r="G16" t="s">
        <v>69</v>
      </c>
      <c r="H16" s="4" t="s">
        <v>123</v>
      </c>
      <c r="I16" s="4" t="s">
        <v>124</v>
      </c>
      <c r="J16" s="23" t="s">
        <v>65</v>
      </c>
      <c r="K16" s="23" t="str">
        <f t="shared" si="0"/>
        <v>DF_POP_COAST</v>
      </c>
    </row>
    <row r="17" spans="1:12" x14ac:dyDescent="0.35">
      <c r="A17" s="20">
        <v>16</v>
      </c>
      <c r="B17" s="20">
        <v>1</v>
      </c>
      <c r="C17" t="s">
        <v>66</v>
      </c>
      <c r="D17" t="s">
        <v>125</v>
      </c>
      <c r="E17" t="s">
        <v>126</v>
      </c>
      <c r="F17" t="s">
        <v>126</v>
      </c>
      <c r="G17" t="s">
        <v>69</v>
      </c>
      <c r="H17" s="4" t="s">
        <v>127</v>
      </c>
      <c r="I17" s="4" t="s">
        <v>128</v>
      </c>
      <c r="J17" s="23" t="s">
        <v>65</v>
      </c>
      <c r="K17" s="23" t="str">
        <f t="shared" si="0"/>
        <v>DF_POP_COAST</v>
      </c>
    </row>
    <row r="18" spans="1:12" x14ac:dyDescent="0.35">
      <c r="A18" s="20">
        <v>17</v>
      </c>
      <c r="B18" s="20">
        <v>1</v>
      </c>
      <c r="C18" t="s">
        <v>66</v>
      </c>
      <c r="D18" t="s">
        <v>129</v>
      </c>
      <c r="E18" t="s">
        <v>130</v>
      </c>
      <c r="F18" t="s">
        <v>130</v>
      </c>
      <c r="G18" t="s">
        <v>69</v>
      </c>
      <c r="H18" s="4" t="s">
        <v>131</v>
      </c>
      <c r="I18" s="4" t="s">
        <v>132</v>
      </c>
      <c r="J18" s="23" t="s">
        <v>65</v>
      </c>
      <c r="K18" s="23" t="str">
        <f t="shared" si="0"/>
        <v>DF_POP_DENSITY</v>
      </c>
    </row>
    <row r="19" spans="1:12" x14ac:dyDescent="0.35">
      <c r="A19" s="20">
        <v>18</v>
      </c>
      <c r="B19" s="20">
        <v>1</v>
      </c>
      <c r="C19" t="s">
        <v>66</v>
      </c>
      <c r="D19" t="s">
        <v>133</v>
      </c>
      <c r="E19" t="s">
        <v>134</v>
      </c>
      <c r="F19" t="s">
        <v>134</v>
      </c>
      <c r="G19" t="s">
        <v>69</v>
      </c>
      <c r="H19" s="4" t="s">
        <v>135</v>
      </c>
      <c r="I19" s="4" t="s">
        <v>136</v>
      </c>
      <c r="J19" s="23" t="s">
        <v>65</v>
      </c>
      <c r="K19" s="23" t="str">
        <f t="shared" si="0"/>
        <v>DF_WBWDI</v>
      </c>
      <c r="L19" s="23" t="s">
        <v>137</v>
      </c>
    </row>
    <row r="20" spans="1:12" x14ac:dyDescent="0.35">
      <c r="A20" s="20">
        <v>19</v>
      </c>
      <c r="B20" s="20">
        <v>1</v>
      </c>
      <c r="C20" t="s">
        <v>66</v>
      </c>
      <c r="D20" t="s">
        <v>138</v>
      </c>
      <c r="E20" t="s">
        <v>139</v>
      </c>
      <c r="F20" t="s">
        <v>139</v>
      </c>
      <c r="G20" t="s">
        <v>69</v>
      </c>
      <c r="H20" s="4" t="s">
        <v>140</v>
      </c>
      <c r="I20" s="4" t="s">
        <v>141</v>
      </c>
      <c r="J20" s="23" t="s">
        <v>65</v>
      </c>
      <c r="K20" s="23" t="str">
        <f t="shared" si="0"/>
        <v>DF_WBWDI</v>
      </c>
      <c r="L20" s="23" t="s">
        <v>137</v>
      </c>
    </row>
    <row r="21" spans="1:12" x14ac:dyDescent="0.35">
      <c r="A21" s="20">
        <v>20</v>
      </c>
      <c r="B21" s="20">
        <v>0</v>
      </c>
      <c r="C21" t="s">
        <v>66</v>
      </c>
      <c r="D21" t="s">
        <v>142</v>
      </c>
      <c r="E21" t="s">
        <v>143</v>
      </c>
      <c r="F21" t="s">
        <v>143</v>
      </c>
      <c r="G21" t="s">
        <v>65</v>
      </c>
      <c r="H21" t="s">
        <v>65</v>
      </c>
      <c r="I21" t="s">
        <v>65</v>
      </c>
      <c r="J21" s="23" t="s">
        <v>65</v>
      </c>
      <c r="K21" s="23" t="str">
        <f t="shared" si="0"/>
        <v>-</v>
      </c>
    </row>
    <row r="22" spans="1:12" x14ac:dyDescent="0.35">
      <c r="A22" s="20">
        <v>21</v>
      </c>
      <c r="B22" s="20">
        <v>0</v>
      </c>
      <c r="C22" t="s">
        <v>66</v>
      </c>
      <c r="D22" t="s">
        <v>144</v>
      </c>
      <c r="E22" t="s">
        <v>145</v>
      </c>
      <c r="F22" t="s">
        <v>145</v>
      </c>
      <c r="G22" t="s">
        <v>65</v>
      </c>
      <c r="H22" t="s">
        <v>65</v>
      </c>
      <c r="I22" t="s">
        <v>65</v>
      </c>
      <c r="J22" s="23" t="s">
        <v>65</v>
      </c>
      <c r="K22" s="23" t="str">
        <f t="shared" si="0"/>
        <v>-</v>
      </c>
    </row>
    <row r="23" spans="1:12" x14ac:dyDescent="0.35">
      <c r="A23" s="20">
        <v>22</v>
      </c>
      <c r="B23" s="20">
        <v>0</v>
      </c>
      <c r="C23" t="s">
        <v>66</v>
      </c>
      <c r="D23" t="s">
        <v>146</v>
      </c>
      <c r="E23" t="s">
        <v>147</v>
      </c>
      <c r="F23" t="s">
        <v>147</v>
      </c>
      <c r="G23" t="s">
        <v>65</v>
      </c>
      <c r="H23" t="s">
        <v>65</v>
      </c>
      <c r="I23" t="s">
        <v>65</v>
      </c>
      <c r="J23" s="23" t="s">
        <v>65</v>
      </c>
      <c r="K23" s="23" t="str">
        <f t="shared" si="0"/>
        <v>-</v>
      </c>
    </row>
    <row r="24" spans="1:12" x14ac:dyDescent="0.35">
      <c r="A24" s="20">
        <v>23</v>
      </c>
      <c r="B24" s="20">
        <v>0</v>
      </c>
      <c r="C24" t="s">
        <v>66</v>
      </c>
      <c r="D24" t="s">
        <v>148</v>
      </c>
      <c r="E24" t="s">
        <v>149</v>
      </c>
      <c r="F24" t="s">
        <v>149</v>
      </c>
      <c r="G24" t="s">
        <v>65</v>
      </c>
      <c r="H24" t="s">
        <v>65</v>
      </c>
      <c r="I24" t="s">
        <v>65</v>
      </c>
      <c r="J24" s="23" t="s">
        <v>65</v>
      </c>
      <c r="K24" s="23" t="str">
        <f t="shared" si="0"/>
        <v>-</v>
      </c>
    </row>
    <row r="25" spans="1:12" x14ac:dyDescent="0.35">
      <c r="A25" s="20">
        <v>24</v>
      </c>
      <c r="B25" s="20">
        <v>1</v>
      </c>
      <c r="C25" t="s">
        <v>150</v>
      </c>
      <c r="D25" t="s">
        <v>151</v>
      </c>
      <c r="E25" t="s">
        <v>152</v>
      </c>
      <c r="F25" t="s">
        <v>153</v>
      </c>
      <c r="G25" t="s">
        <v>154</v>
      </c>
      <c r="H25" t="s">
        <v>65</v>
      </c>
      <c r="I25" t="s">
        <v>65</v>
      </c>
      <c r="J25" s="23" t="s">
        <v>65</v>
      </c>
      <c r="K25" s="23" t="str">
        <f t="shared" si="0"/>
        <v>-</v>
      </c>
    </row>
    <row r="26" spans="1:12" x14ac:dyDescent="0.35">
      <c r="A26" s="20">
        <v>25</v>
      </c>
      <c r="B26" s="20">
        <v>1</v>
      </c>
      <c r="C26" s="3" t="s">
        <v>62</v>
      </c>
      <c r="D26" s="3" t="s">
        <v>155</v>
      </c>
      <c r="E26" s="3" t="s">
        <v>156</v>
      </c>
      <c r="F26" s="3"/>
      <c r="G26" s="3" t="s">
        <v>65</v>
      </c>
      <c r="H26" s="3"/>
      <c r="I26" s="3" t="s">
        <v>65</v>
      </c>
      <c r="J26" s="25" t="s">
        <v>65</v>
      </c>
      <c r="K26" s="23" t="str">
        <f t="shared" si="0"/>
        <v>-</v>
      </c>
    </row>
    <row r="27" spans="1:12" x14ac:dyDescent="0.35">
      <c r="A27" s="20">
        <v>26</v>
      </c>
      <c r="B27" s="20">
        <v>1</v>
      </c>
      <c r="C27" t="s">
        <v>66</v>
      </c>
      <c r="D27" t="s">
        <v>157</v>
      </c>
      <c r="E27" s="6" t="s">
        <v>158</v>
      </c>
      <c r="F27" t="s">
        <v>159</v>
      </c>
      <c r="G27" t="s">
        <v>160</v>
      </c>
      <c r="H27" s="4" t="s">
        <v>161</v>
      </c>
      <c r="I27" s="4" t="s">
        <v>162</v>
      </c>
      <c r="J27" s="23" t="s">
        <v>65</v>
      </c>
      <c r="K27" s="23" t="str">
        <f>IF(I27="-", "-", LEFT(RIGHT(I27, LEN(I27)-FIND("SPC,", I27)-3), FIND(",", RIGHT(I27, LEN(I27)-FIND("SPC,", I27)-3))-1))</f>
        <v>DF_VITAL</v>
      </c>
    </row>
    <row r="28" spans="1:12" x14ac:dyDescent="0.35">
      <c r="A28" s="20">
        <v>27</v>
      </c>
      <c r="B28" s="20">
        <v>1</v>
      </c>
      <c r="C28" t="s">
        <v>66</v>
      </c>
      <c r="D28" t="s">
        <v>163</v>
      </c>
      <c r="E28" s="6" t="s">
        <v>164</v>
      </c>
      <c r="F28" t="s">
        <v>159</v>
      </c>
      <c r="G28" t="s">
        <v>160</v>
      </c>
      <c r="H28" s="4" t="s">
        <v>165</v>
      </c>
      <c r="I28" s="4" t="s">
        <v>166</v>
      </c>
      <c r="J28" s="23" t="s">
        <v>65</v>
      </c>
      <c r="K28" s="23" t="str">
        <f>IF(I28="-", "-", LEFT(RIGHT(I28, LEN(I28)-FIND("SPC,", I28)-3), FIND(",", RIGHT(I28, LEN(I28)-FIND("SPC,", I28)-3))-1))</f>
        <v>DF_VITAL</v>
      </c>
    </row>
    <row r="29" spans="1:12" x14ac:dyDescent="0.35">
      <c r="A29" s="20">
        <v>28</v>
      </c>
      <c r="B29" s="20">
        <v>1</v>
      </c>
      <c r="C29" t="s">
        <v>66</v>
      </c>
      <c r="D29" t="s">
        <v>167</v>
      </c>
      <c r="E29" t="s">
        <v>168</v>
      </c>
      <c r="F29" t="s">
        <v>168</v>
      </c>
      <c r="G29" t="s">
        <v>160</v>
      </c>
      <c r="H29" s="21" t="s">
        <v>169</v>
      </c>
      <c r="I29" s="21" t="s">
        <v>170</v>
      </c>
      <c r="J29" s="24" t="s">
        <v>65</v>
      </c>
      <c r="K29" s="24" t="str">
        <f>IF(I29="-", "-", LEFT(RIGHT(I29, LEN(I29)-FIND("SPC,", I29)-3), FIND(",", RIGHT(I29, LEN(I29)-FIND("SPC,", I29)-3))-1))</f>
        <v>DF_VITAL</v>
      </c>
      <c r="L29" s="23" t="s">
        <v>171</v>
      </c>
    </row>
    <row r="30" spans="1:12" x14ac:dyDescent="0.35">
      <c r="A30" s="20">
        <v>29</v>
      </c>
      <c r="B30" s="20">
        <v>1</v>
      </c>
      <c r="C30" t="s">
        <v>66</v>
      </c>
      <c r="D30" t="s">
        <v>172</v>
      </c>
      <c r="E30" t="s">
        <v>173</v>
      </c>
      <c r="F30" t="s">
        <v>174</v>
      </c>
      <c r="G30" t="s">
        <v>160</v>
      </c>
      <c r="H30" s="4" t="s">
        <v>175</v>
      </c>
      <c r="I30" s="4" t="s">
        <v>176</v>
      </c>
      <c r="J30" s="23" t="s">
        <v>65</v>
      </c>
      <c r="K30" s="23" t="str">
        <f>IF(I30="-", "-", LEFT(RIGHT(I30, LEN(I30)-FIND("SPC,", I30)-3), FIND(",", RIGHT(I30, LEN(I30)-FIND("SPC,", I30)-3))-1))</f>
        <v>DF_SDG_03</v>
      </c>
      <c r="L30" s="23" t="s">
        <v>177</v>
      </c>
    </row>
    <row r="31" spans="1:12" x14ac:dyDescent="0.35">
      <c r="A31" s="20">
        <v>30</v>
      </c>
      <c r="B31" s="20">
        <v>1</v>
      </c>
      <c r="C31" t="s">
        <v>66</v>
      </c>
      <c r="D31" t="s">
        <v>178</v>
      </c>
      <c r="E31" t="s">
        <v>179</v>
      </c>
      <c r="F31" t="s">
        <v>180</v>
      </c>
      <c r="G31" t="s">
        <v>160</v>
      </c>
      <c r="H31" s="4" t="s">
        <v>181</v>
      </c>
      <c r="I31" s="4" t="s">
        <v>182</v>
      </c>
      <c r="J31" s="23" t="s">
        <v>65</v>
      </c>
      <c r="K31" s="23" t="str">
        <f>IF(I31="-", "-", LEFT(RIGHT(I31, LEN(I31)-FIND("SPC,", I31)-3), FIND(",", RIGHT(I31, LEN(I31)-FIND("SPC,", I31)-3))-1))</f>
        <v>DF_SDG_03</v>
      </c>
      <c r="L31" s="23" t="s">
        <v>183</v>
      </c>
    </row>
    <row r="32" spans="1:12" x14ac:dyDescent="0.35">
      <c r="A32" s="20">
        <v>31</v>
      </c>
      <c r="B32" s="20">
        <v>1</v>
      </c>
      <c r="C32" t="s">
        <v>66</v>
      </c>
      <c r="D32" t="s">
        <v>184</v>
      </c>
      <c r="E32" t="s">
        <v>185</v>
      </c>
      <c r="F32" t="s">
        <v>186</v>
      </c>
      <c r="G32" t="s">
        <v>160</v>
      </c>
      <c r="H32" s="4" t="s">
        <v>187</v>
      </c>
      <c r="I32" s="4" t="s">
        <v>188</v>
      </c>
      <c r="J32" s="23" t="s">
        <v>65</v>
      </c>
      <c r="K32" s="23" t="str">
        <f t="shared" si="0"/>
        <v>DF_SDG_03</v>
      </c>
      <c r="L32" s="23" t="s">
        <v>189</v>
      </c>
    </row>
    <row r="33" spans="1:12" x14ac:dyDescent="0.35">
      <c r="A33" s="20">
        <v>32</v>
      </c>
      <c r="B33" s="20">
        <v>1</v>
      </c>
      <c r="C33" t="s">
        <v>66</v>
      </c>
      <c r="D33" t="s">
        <v>190</v>
      </c>
      <c r="E33" t="s">
        <v>191</v>
      </c>
      <c r="F33" t="s">
        <v>192</v>
      </c>
      <c r="G33" t="s">
        <v>160</v>
      </c>
      <c r="H33" s="4" t="s">
        <v>193</v>
      </c>
      <c r="I33" s="4" t="s">
        <v>194</v>
      </c>
      <c r="J33" s="23" t="s">
        <v>65</v>
      </c>
      <c r="K33" s="23" t="str">
        <f>IF(I33="-", "-", LEFT(RIGHT(I33, LEN(I33)-FIND("SPC,", I33)-3), FIND(",", RIGHT(I33, LEN(I33)-FIND("SPC,", I33)-3))-1))</f>
        <v>DF_SDG_02</v>
      </c>
      <c r="L33" s="23" t="s">
        <v>183</v>
      </c>
    </row>
    <row r="34" spans="1:12" x14ac:dyDescent="0.35">
      <c r="A34" s="20">
        <v>33</v>
      </c>
      <c r="B34" s="20">
        <v>1</v>
      </c>
      <c r="C34" t="s">
        <v>66</v>
      </c>
      <c r="D34" t="s">
        <v>195</v>
      </c>
      <c r="E34" t="s">
        <v>196</v>
      </c>
      <c r="F34" t="s">
        <v>197</v>
      </c>
      <c r="G34" t="s">
        <v>160</v>
      </c>
      <c r="H34" s="4" t="s">
        <v>198</v>
      </c>
      <c r="I34" s="4" t="s">
        <v>199</v>
      </c>
      <c r="J34" s="23" t="s">
        <v>65</v>
      </c>
      <c r="K34" s="23" t="str">
        <f>IF(I34="-", "-", LEFT(RIGHT(I34, LEN(I34)-FIND("SPC,", I34)-3), FIND(",", RIGHT(I34, LEN(I34)-FIND("SPC,", I34)-3))-1))</f>
        <v>DF_SDG_03</v>
      </c>
      <c r="L34" s="23" t="s">
        <v>183</v>
      </c>
    </row>
    <row r="35" spans="1:12" x14ac:dyDescent="0.35">
      <c r="A35" s="20">
        <v>34</v>
      </c>
      <c r="B35" s="20">
        <v>1</v>
      </c>
      <c r="C35" t="s">
        <v>66</v>
      </c>
      <c r="D35" t="s">
        <v>200</v>
      </c>
      <c r="E35" t="s">
        <v>201</v>
      </c>
      <c r="F35" t="s">
        <v>202</v>
      </c>
      <c r="G35" t="s">
        <v>160</v>
      </c>
      <c r="H35" s="4" t="s">
        <v>203</v>
      </c>
      <c r="I35" s="4" t="s">
        <v>204</v>
      </c>
      <c r="J35" s="23" t="s">
        <v>65</v>
      </c>
      <c r="K35" s="23" t="str">
        <f>IF(I35="-", "-", LEFT(RIGHT(I35, LEN(I35)-FIND("SPC,", I35)-3), FIND(",", RIGHT(I35, LEN(I35)-FIND("SPC,", I35)-3))-1))</f>
        <v>DF_NMDI_HEA</v>
      </c>
      <c r="L35" s="23" t="s">
        <v>72</v>
      </c>
    </row>
    <row r="36" spans="1:12" x14ac:dyDescent="0.35">
      <c r="A36" s="20">
        <v>35</v>
      </c>
      <c r="B36" s="20">
        <v>1</v>
      </c>
      <c r="C36" t="s">
        <v>66</v>
      </c>
      <c r="D36" t="s">
        <v>205</v>
      </c>
      <c r="E36" t="s">
        <v>206</v>
      </c>
      <c r="F36" t="s">
        <v>207</v>
      </c>
      <c r="G36" t="s">
        <v>160</v>
      </c>
      <c r="H36" s="4" t="s">
        <v>208</v>
      </c>
      <c r="I36" s="4" t="s">
        <v>209</v>
      </c>
      <c r="J36" s="23" t="s">
        <v>65</v>
      </c>
      <c r="K36" s="23" t="str">
        <f>IF(I36="-", "-", LEFT(RIGHT(I36, LEN(I36)-FIND("SPC,", I36)-3), FIND(",", RIGHT(I36, LEN(I36)-FIND("SPC,", I36)-3))-1))</f>
        <v>DF_SDG_03</v>
      </c>
      <c r="L36" s="23" t="s">
        <v>183</v>
      </c>
    </row>
    <row r="37" spans="1:12" x14ac:dyDescent="0.35">
      <c r="A37" s="20">
        <v>36</v>
      </c>
      <c r="B37" s="20">
        <v>1</v>
      </c>
      <c r="C37" t="s">
        <v>66</v>
      </c>
      <c r="D37" t="s">
        <v>210</v>
      </c>
      <c r="E37" t="s">
        <v>211</v>
      </c>
      <c r="F37" t="s">
        <v>212</v>
      </c>
      <c r="G37" t="s">
        <v>160</v>
      </c>
      <c r="H37" s="4" t="s">
        <v>213</v>
      </c>
      <c r="I37" s="4" t="s">
        <v>214</v>
      </c>
      <c r="K37" s="23" t="str">
        <f t="shared" ref="K37:K38" si="1">IF(I37="-", "-", LEFT(RIGHT(I37, LEN(I37)-FIND("SPC,", I37)-3), FIND(",", RIGHT(I37, LEN(I37)-FIND("SPC,", I37)-3))-1))</f>
        <v>DF_NMDI_HEA</v>
      </c>
      <c r="L37" s="23" t="s">
        <v>116</v>
      </c>
    </row>
    <row r="38" spans="1:12" x14ac:dyDescent="0.35">
      <c r="A38" s="20">
        <v>37</v>
      </c>
      <c r="B38" s="20">
        <v>1</v>
      </c>
      <c r="C38" t="s">
        <v>66</v>
      </c>
      <c r="D38" t="s">
        <v>215</v>
      </c>
      <c r="E38" t="s">
        <v>216</v>
      </c>
      <c r="F38" t="s">
        <v>212</v>
      </c>
      <c r="G38" t="s">
        <v>160</v>
      </c>
      <c r="H38" s="4" t="s">
        <v>217</v>
      </c>
      <c r="I38" s="4" t="s">
        <v>218</v>
      </c>
      <c r="K38" s="23" t="str">
        <f t="shared" si="1"/>
        <v>DF_NMDI_HEA</v>
      </c>
      <c r="L38" s="23" t="s">
        <v>116</v>
      </c>
    </row>
    <row r="39" spans="1:12" x14ac:dyDescent="0.35">
      <c r="A39" s="20">
        <v>38</v>
      </c>
      <c r="B39" s="20">
        <v>1</v>
      </c>
      <c r="C39" t="s">
        <v>66</v>
      </c>
      <c r="D39" t="s">
        <v>219</v>
      </c>
      <c r="E39" t="s">
        <v>220</v>
      </c>
      <c r="F39" t="s">
        <v>212</v>
      </c>
      <c r="G39" t="s">
        <v>160</v>
      </c>
      <c r="H39" s="4" t="s">
        <v>221</v>
      </c>
      <c r="I39" s="4" t="s">
        <v>222</v>
      </c>
      <c r="J39" s="23" t="s">
        <v>65</v>
      </c>
      <c r="K39" s="23" t="str">
        <f>IF(I39="-", "-", LEFT(RIGHT(I39, LEN(I39)-FIND("SPC,", I39)-3), FIND(",", RIGHT(I39, LEN(I39)-FIND("SPC,", I39)-3))-1))</f>
        <v>DF_NMDI_HEA</v>
      </c>
      <c r="L39" s="23" t="s">
        <v>116</v>
      </c>
    </row>
    <row r="40" spans="1:12" x14ac:dyDescent="0.35">
      <c r="A40" s="20">
        <v>39</v>
      </c>
      <c r="B40" s="20">
        <v>1</v>
      </c>
      <c r="C40" t="s">
        <v>66</v>
      </c>
      <c r="D40" t="s">
        <v>223</v>
      </c>
      <c r="E40" t="s">
        <v>224</v>
      </c>
      <c r="F40" t="s">
        <v>224</v>
      </c>
      <c r="G40" t="s">
        <v>160</v>
      </c>
      <c r="H40" s="4" t="s">
        <v>225</v>
      </c>
      <c r="I40" s="4" t="s">
        <v>226</v>
      </c>
      <c r="J40" s="23" t="s">
        <v>65</v>
      </c>
      <c r="K40" s="23" t="str">
        <f t="shared" si="0"/>
        <v>DF_NMDI_HEA</v>
      </c>
    </row>
    <row r="41" spans="1:12" x14ac:dyDescent="0.35">
      <c r="A41" s="20">
        <v>40</v>
      </c>
      <c r="B41" s="20">
        <v>1</v>
      </c>
      <c r="C41" t="s">
        <v>66</v>
      </c>
      <c r="D41" t="s">
        <v>227</v>
      </c>
      <c r="E41" t="s">
        <v>228</v>
      </c>
      <c r="F41" t="s">
        <v>229</v>
      </c>
      <c r="G41" t="s">
        <v>160</v>
      </c>
      <c r="H41" s="4" t="s">
        <v>230</v>
      </c>
      <c r="I41" s="4" t="s">
        <v>231</v>
      </c>
      <c r="J41" s="23" t="s">
        <v>65</v>
      </c>
      <c r="K41" s="23" t="str">
        <f>IF(I41="-", "-", LEFT(RIGHT(I41, LEN(I41)-FIND("SPC,", I41)-3), FIND(",", RIGHT(I41, LEN(I41)-FIND("SPC,", I41)-3))-1))</f>
        <v>DF_NMDI_HEA</v>
      </c>
    </row>
    <row r="42" spans="1:12" x14ac:dyDescent="0.35">
      <c r="A42" s="20">
        <v>41</v>
      </c>
      <c r="B42" s="20">
        <v>1</v>
      </c>
      <c r="C42" t="s">
        <v>66</v>
      </c>
      <c r="D42" t="s">
        <v>232</v>
      </c>
      <c r="E42" t="s">
        <v>233</v>
      </c>
      <c r="F42" t="s">
        <v>234</v>
      </c>
      <c r="G42" t="s">
        <v>160</v>
      </c>
      <c r="H42" s="4" t="s">
        <v>235</v>
      </c>
      <c r="I42" s="4" t="s">
        <v>236</v>
      </c>
      <c r="J42" s="23" t="s">
        <v>65</v>
      </c>
      <c r="K42" s="23" t="str">
        <f>IF(I42="-", "-", LEFT(RIGHT(I42, LEN(I42)-FIND("SPC,", I42)-3), FIND(",", RIGHT(I42, LEN(I42)-FIND("SPC,", I42)-3))-1))</f>
        <v>DF_SDG_03</v>
      </c>
      <c r="L42" s="23" t="s">
        <v>177</v>
      </c>
    </row>
    <row r="43" spans="1:12" x14ac:dyDescent="0.35">
      <c r="A43" s="20">
        <v>42</v>
      </c>
      <c r="B43" s="20">
        <v>1</v>
      </c>
      <c r="C43" t="s">
        <v>66</v>
      </c>
      <c r="D43" t="s">
        <v>237</v>
      </c>
      <c r="E43" t="s">
        <v>238</v>
      </c>
      <c r="F43" t="s">
        <v>239</v>
      </c>
      <c r="G43" t="s">
        <v>160</v>
      </c>
      <c r="H43" s="4" t="s">
        <v>240</v>
      </c>
      <c r="I43" s="4" t="s">
        <v>241</v>
      </c>
      <c r="J43" s="23" t="s">
        <v>65</v>
      </c>
      <c r="K43" s="23" t="str">
        <f>IF(I43="-", "-", LEFT(RIGHT(I43, LEN(I43)-FIND("SPC,", I43)-3), FIND(",", RIGHT(I43, LEN(I43)-FIND("SPC,", I43)-3))-1))</f>
        <v>DF_SDG_03</v>
      </c>
      <c r="L43" s="23" t="s">
        <v>183</v>
      </c>
    </row>
    <row r="44" spans="1:12" x14ac:dyDescent="0.35">
      <c r="A44" s="20">
        <v>43</v>
      </c>
      <c r="B44" s="20">
        <v>1</v>
      </c>
      <c r="C44" t="s">
        <v>66</v>
      </c>
      <c r="D44" t="s">
        <v>242</v>
      </c>
      <c r="E44" t="s">
        <v>243</v>
      </c>
      <c r="F44" t="s">
        <v>244</v>
      </c>
      <c r="G44" t="s">
        <v>160</v>
      </c>
      <c r="H44" s="4" t="s">
        <v>245</v>
      </c>
      <c r="I44" s="4" t="s">
        <v>246</v>
      </c>
      <c r="J44" s="23" t="s">
        <v>65</v>
      </c>
      <c r="K44" s="23" t="str">
        <f t="shared" si="0"/>
        <v>DF_SDG_03</v>
      </c>
      <c r="L44" s="23" t="s">
        <v>183</v>
      </c>
    </row>
    <row r="45" spans="1:12" x14ac:dyDescent="0.35">
      <c r="A45" s="20">
        <v>44</v>
      </c>
      <c r="B45" s="20">
        <v>1</v>
      </c>
      <c r="C45" t="s">
        <v>66</v>
      </c>
      <c r="D45" t="s">
        <v>247</v>
      </c>
      <c r="E45" t="s">
        <v>248</v>
      </c>
      <c r="F45" t="s">
        <v>249</v>
      </c>
      <c r="G45" t="s">
        <v>160</v>
      </c>
      <c r="H45" s="4" t="s">
        <v>250</v>
      </c>
      <c r="I45" s="4" t="s">
        <v>251</v>
      </c>
      <c r="K45" s="23" t="str">
        <f t="shared" si="0"/>
        <v>DF_SDG_03</v>
      </c>
      <c r="L45" s="23" t="s">
        <v>252</v>
      </c>
    </row>
    <row r="46" spans="1:12" x14ac:dyDescent="0.35">
      <c r="A46" s="20">
        <v>45</v>
      </c>
      <c r="B46" s="20">
        <v>1</v>
      </c>
      <c r="C46" t="s">
        <v>66</v>
      </c>
      <c r="D46" t="s">
        <v>253</v>
      </c>
      <c r="E46" t="s">
        <v>254</v>
      </c>
      <c r="F46" t="s">
        <v>249</v>
      </c>
      <c r="G46" t="s">
        <v>160</v>
      </c>
      <c r="H46" s="4" t="s">
        <v>255</v>
      </c>
      <c r="I46" s="4" t="s">
        <v>256</v>
      </c>
      <c r="K46" s="23" t="str">
        <f t="shared" si="0"/>
        <v>DF_SDG_03</v>
      </c>
      <c r="L46" s="23" t="s">
        <v>252</v>
      </c>
    </row>
    <row r="47" spans="1:12" x14ac:dyDescent="0.35">
      <c r="A47" s="20">
        <v>46</v>
      </c>
      <c r="B47" s="20">
        <v>1</v>
      </c>
      <c r="C47" t="s">
        <v>66</v>
      </c>
      <c r="D47" t="s">
        <v>257</v>
      </c>
      <c r="E47" t="s">
        <v>258</v>
      </c>
      <c r="F47" t="s">
        <v>249</v>
      </c>
      <c r="G47" t="s">
        <v>160</v>
      </c>
      <c r="H47" s="4" t="s">
        <v>259</v>
      </c>
      <c r="I47" s="4" t="s">
        <v>260</v>
      </c>
      <c r="K47" s="23" t="str">
        <f t="shared" si="0"/>
        <v>DF_SDG_03</v>
      </c>
      <c r="L47" s="23" t="s">
        <v>252</v>
      </c>
    </row>
    <row r="48" spans="1:12" x14ac:dyDescent="0.35">
      <c r="A48" s="20">
        <v>47</v>
      </c>
      <c r="B48" s="20">
        <v>1</v>
      </c>
      <c r="C48" t="s">
        <v>66</v>
      </c>
      <c r="D48" t="s">
        <v>261</v>
      </c>
      <c r="E48" t="s">
        <v>262</v>
      </c>
      <c r="F48" t="s">
        <v>263</v>
      </c>
      <c r="G48" t="s">
        <v>160</v>
      </c>
      <c r="H48" s="4" t="s">
        <v>264</v>
      </c>
      <c r="I48" s="4" t="s">
        <v>265</v>
      </c>
      <c r="J48" s="23" t="s">
        <v>65</v>
      </c>
      <c r="K48" s="23" t="str">
        <f>IF(I48="-", "-", LEFT(RIGHT(I48, LEN(I48)-FIND("SPC,", I48)-3), FIND(",", RIGHT(I48, LEN(I48)-FIND("SPC,", I48)-3))-1))</f>
        <v>DF_SDG_03</v>
      </c>
      <c r="L48" s="23" t="s">
        <v>183</v>
      </c>
    </row>
    <row r="49" spans="1:13" x14ac:dyDescent="0.35">
      <c r="A49" s="20">
        <v>48</v>
      </c>
      <c r="B49" s="20">
        <v>0</v>
      </c>
      <c r="C49" t="s">
        <v>66</v>
      </c>
      <c r="D49" t="s">
        <v>266</v>
      </c>
      <c r="E49" t="s">
        <v>65</v>
      </c>
      <c r="F49" t="s">
        <v>267</v>
      </c>
      <c r="G49" t="s">
        <v>65</v>
      </c>
      <c r="H49" t="s">
        <v>65</v>
      </c>
      <c r="I49" t="s">
        <v>65</v>
      </c>
      <c r="J49" s="23" t="s">
        <v>65</v>
      </c>
      <c r="K49" s="23" t="str">
        <f t="shared" si="0"/>
        <v>-</v>
      </c>
    </row>
    <row r="50" spans="1:13" x14ac:dyDescent="0.35">
      <c r="A50" s="20">
        <v>49</v>
      </c>
      <c r="B50" s="20">
        <v>1</v>
      </c>
      <c r="C50" s="3" t="s">
        <v>62</v>
      </c>
      <c r="D50" s="3" t="s">
        <v>268</v>
      </c>
      <c r="E50" s="3" t="s">
        <v>269</v>
      </c>
      <c r="F50" s="3"/>
      <c r="G50" s="3" t="s">
        <v>65</v>
      </c>
      <c r="H50" s="3"/>
      <c r="I50" s="3" t="s">
        <v>65</v>
      </c>
      <c r="J50" s="25" t="s">
        <v>65</v>
      </c>
      <c r="K50" s="23" t="str">
        <f t="shared" si="0"/>
        <v>-</v>
      </c>
    </row>
    <row r="51" spans="1:13" x14ac:dyDescent="0.35">
      <c r="A51" s="20">
        <v>50</v>
      </c>
      <c r="B51" s="20">
        <v>1</v>
      </c>
      <c r="C51" t="s">
        <v>66</v>
      </c>
      <c r="D51" t="s">
        <v>270</v>
      </c>
      <c r="E51" t="s">
        <v>271</v>
      </c>
      <c r="F51" t="s">
        <v>272</v>
      </c>
      <c r="G51" t="s">
        <v>160</v>
      </c>
      <c r="H51" s="4" t="s">
        <v>273</v>
      </c>
      <c r="I51" s="4" t="s">
        <v>274</v>
      </c>
      <c r="J51" s="23" t="s">
        <v>65</v>
      </c>
      <c r="K51" s="23" t="str">
        <f t="shared" si="0"/>
        <v>DF_NMDI_EDU</v>
      </c>
    </row>
    <row r="52" spans="1:13" x14ac:dyDescent="0.35">
      <c r="A52" s="20">
        <v>51</v>
      </c>
      <c r="B52" s="20">
        <v>1</v>
      </c>
      <c r="C52" t="s">
        <v>66</v>
      </c>
      <c r="D52" t="s">
        <v>275</v>
      </c>
      <c r="E52" t="s">
        <v>276</v>
      </c>
      <c r="F52" t="s">
        <v>276</v>
      </c>
      <c r="G52" t="s">
        <v>160</v>
      </c>
      <c r="H52" s="4" t="s">
        <v>277</v>
      </c>
      <c r="I52" s="4" t="s">
        <v>278</v>
      </c>
      <c r="J52" s="23" t="s">
        <v>65</v>
      </c>
      <c r="K52" s="23" t="str">
        <f t="shared" si="0"/>
        <v>DF_NMDI_EDU</v>
      </c>
    </row>
    <row r="53" spans="1:13" x14ac:dyDescent="0.35">
      <c r="A53" s="20">
        <v>52</v>
      </c>
      <c r="B53" s="20">
        <v>1</v>
      </c>
      <c r="C53" t="s">
        <v>66</v>
      </c>
      <c r="D53" t="s">
        <v>279</v>
      </c>
      <c r="E53" t="s">
        <v>280</v>
      </c>
      <c r="F53" t="s">
        <v>281</v>
      </c>
      <c r="G53" t="s">
        <v>160</v>
      </c>
      <c r="H53" s="4" t="s">
        <v>282</v>
      </c>
      <c r="I53" s="4" t="s">
        <v>283</v>
      </c>
      <c r="J53" s="23" t="s">
        <v>65</v>
      </c>
      <c r="K53" s="23" t="str">
        <f t="shared" si="0"/>
        <v>DF_SDG_04</v>
      </c>
      <c r="L53" s="23" t="s">
        <v>183</v>
      </c>
    </row>
    <row r="54" spans="1:13" x14ac:dyDescent="0.35">
      <c r="A54" s="20">
        <v>53</v>
      </c>
      <c r="B54" s="20">
        <v>1</v>
      </c>
      <c r="C54" t="s">
        <v>66</v>
      </c>
      <c r="D54" t="s">
        <v>284</v>
      </c>
      <c r="E54" t="s">
        <v>285</v>
      </c>
      <c r="F54" t="s">
        <v>286</v>
      </c>
      <c r="G54" t="s">
        <v>160</v>
      </c>
      <c r="H54" s="4" t="s">
        <v>287</v>
      </c>
      <c r="I54" s="4" t="s">
        <v>288</v>
      </c>
      <c r="J54" s="23" t="s">
        <v>65</v>
      </c>
      <c r="K54" s="23" t="str">
        <f t="shared" si="0"/>
        <v>DF_SDG_04</v>
      </c>
      <c r="L54" s="23" t="s">
        <v>183</v>
      </c>
    </row>
    <row r="55" spans="1:13" x14ac:dyDescent="0.35">
      <c r="A55" s="20">
        <v>54</v>
      </c>
      <c r="B55" s="20">
        <v>1</v>
      </c>
      <c r="C55" t="s">
        <v>66</v>
      </c>
      <c r="D55" t="s">
        <v>289</v>
      </c>
      <c r="E55" t="s">
        <v>290</v>
      </c>
      <c r="F55" t="s">
        <v>291</v>
      </c>
      <c r="G55" t="s">
        <v>160</v>
      </c>
      <c r="H55" s="4" t="s">
        <v>292</v>
      </c>
      <c r="I55" s="4" t="s">
        <v>293</v>
      </c>
      <c r="J55" s="23" t="s">
        <v>65</v>
      </c>
      <c r="K55" s="23" t="str">
        <f>IF(I55="-", "-", LEFT(RIGHT(I55, LEN(I55)-FIND("SPC,", I55)-3), FIND(",", RIGHT(I55, LEN(I55)-FIND("SPC,", I55)-3))-1))</f>
        <v>DF_NMDI_EDU</v>
      </c>
      <c r="L55" s="23" t="s">
        <v>116</v>
      </c>
    </row>
    <row r="56" spans="1:13" x14ac:dyDescent="0.35">
      <c r="A56" s="20">
        <v>55</v>
      </c>
      <c r="B56" s="20">
        <v>0</v>
      </c>
      <c r="C56" t="s">
        <v>66</v>
      </c>
      <c r="D56" t="s">
        <v>294</v>
      </c>
      <c r="E56" s="27" t="s">
        <v>295</v>
      </c>
      <c r="F56" t="s">
        <v>296</v>
      </c>
      <c r="G56" t="s">
        <v>160</v>
      </c>
      <c r="H56" t="s">
        <v>65</v>
      </c>
      <c r="I56" t="s">
        <v>65</v>
      </c>
      <c r="J56" s="23" t="s">
        <v>65</v>
      </c>
      <c r="K56" s="23" t="str">
        <f>IF(I56="-", "-", LEFT(RIGHT(I56, LEN(I56)-FIND("SPC,", I56)-3), FIND(",", RIGHT(I56, LEN(I56)-FIND("SPC,", I56)-3))-1))</f>
        <v>-</v>
      </c>
      <c r="L56" s="23" t="s">
        <v>116</v>
      </c>
      <c r="M56" s="23" t="s">
        <v>297</v>
      </c>
    </row>
    <row r="57" spans="1:13" x14ac:dyDescent="0.35">
      <c r="A57" s="20">
        <v>56</v>
      </c>
      <c r="B57" s="20">
        <v>1</v>
      </c>
      <c r="C57" t="s">
        <v>66</v>
      </c>
      <c r="D57" t="s">
        <v>298</v>
      </c>
      <c r="E57" t="s">
        <v>299</v>
      </c>
      <c r="F57" t="s">
        <v>300</v>
      </c>
      <c r="G57" t="s">
        <v>160</v>
      </c>
      <c r="H57" s="4" t="s">
        <v>301</v>
      </c>
      <c r="I57" s="4" t="s">
        <v>302</v>
      </c>
      <c r="J57" s="23" t="s">
        <v>65</v>
      </c>
      <c r="K57" s="23" t="str">
        <f t="shared" si="0"/>
        <v>DF_NMDI_EDU</v>
      </c>
      <c r="L57" s="23" t="s">
        <v>72</v>
      </c>
    </row>
    <row r="58" spans="1:13" x14ac:dyDescent="0.35">
      <c r="A58" s="20">
        <v>57</v>
      </c>
      <c r="B58" s="20">
        <v>1</v>
      </c>
      <c r="C58" t="s">
        <v>66</v>
      </c>
      <c r="D58" t="s">
        <v>303</v>
      </c>
      <c r="E58" t="s">
        <v>304</v>
      </c>
      <c r="F58" t="s">
        <v>300</v>
      </c>
      <c r="G58" t="s">
        <v>160</v>
      </c>
      <c r="H58" s="4" t="s">
        <v>305</v>
      </c>
      <c r="I58" s="4" t="s">
        <v>306</v>
      </c>
      <c r="J58" s="23" t="s">
        <v>65</v>
      </c>
      <c r="K58" s="23" t="str">
        <f t="shared" si="0"/>
        <v>DF_NMDI_EDU</v>
      </c>
      <c r="L58" s="23" t="s">
        <v>116</v>
      </c>
    </row>
    <row r="59" spans="1:13" x14ac:dyDescent="0.35">
      <c r="A59" s="20">
        <v>58</v>
      </c>
      <c r="B59" s="20">
        <v>1</v>
      </c>
      <c r="C59" t="s">
        <v>66</v>
      </c>
      <c r="D59" t="s">
        <v>307</v>
      </c>
      <c r="E59" t="s">
        <v>308</v>
      </c>
      <c r="F59" t="s">
        <v>300</v>
      </c>
      <c r="G59" t="s">
        <v>160</v>
      </c>
      <c r="H59" s="4" t="s">
        <v>309</v>
      </c>
      <c r="I59" s="4" t="s">
        <v>310</v>
      </c>
      <c r="J59" s="23" t="s">
        <v>65</v>
      </c>
      <c r="K59" s="23" t="str">
        <f t="shared" si="0"/>
        <v>DF_NMDI_EDU</v>
      </c>
      <c r="L59" s="23" t="s">
        <v>116</v>
      </c>
    </row>
    <row r="60" spans="1:13" x14ac:dyDescent="0.35">
      <c r="A60" s="20">
        <v>59</v>
      </c>
      <c r="B60" s="20">
        <v>1</v>
      </c>
      <c r="C60" t="s">
        <v>66</v>
      </c>
      <c r="D60" t="s">
        <v>311</v>
      </c>
      <c r="E60" t="s">
        <v>312</v>
      </c>
      <c r="F60" t="s">
        <v>300</v>
      </c>
      <c r="G60" t="s">
        <v>160</v>
      </c>
      <c r="H60" s="4" t="s">
        <v>313</v>
      </c>
      <c r="I60" s="4" t="s">
        <v>314</v>
      </c>
      <c r="J60" s="23" t="s">
        <v>65</v>
      </c>
      <c r="K60" s="23" t="str">
        <f t="shared" si="0"/>
        <v>DF_NMDI_EDU</v>
      </c>
      <c r="L60" s="23" t="s">
        <v>116</v>
      </c>
    </row>
    <row r="61" spans="1:13" x14ac:dyDescent="0.35">
      <c r="A61" s="20">
        <v>60</v>
      </c>
      <c r="B61" s="20">
        <v>1</v>
      </c>
      <c r="C61" t="s">
        <v>66</v>
      </c>
      <c r="D61" t="s">
        <v>315</v>
      </c>
      <c r="E61" t="s">
        <v>316</v>
      </c>
      <c r="F61" t="s">
        <v>300</v>
      </c>
      <c r="G61" t="s">
        <v>160</v>
      </c>
      <c r="H61" s="4" t="s">
        <v>317</v>
      </c>
      <c r="I61" s="4" t="s">
        <v>318</v>
      </c>
      <c r="J61" s="23" t="s">
        <v>65</v>
      </c>
      <c r="K61" s="23" t="str">
        <f>IF(I60="-", "-", LEFT(RIGHT(I61, LEN(I61)-FIND("SPC,", I61)-3), FIND(",", RIGHT(I61, LEN(I61)-FIND("SPC,", I61)-3))-1))</f>
        <v>DF_NMDI_EDU</v>
      </c>
      <c r="L61" s="23" t="s">
        <v>116</v>
      </c>
    </row>
    <row r="62" spans="1:13" x14ac:dyDescent="0.35">
      <c r="A62" s="20">
        <v>61</v>
      </c>
      <c r="B62" s="20">
        <v>1</v>
      </c>
      <c r="C62" t="s">
        <v>66</v>
      </c>
      <c r="D62" t="s">
        <v>319</v>
      </c>
      <c r="E62" t="s">
        <v>320</v>
      </c>
      <c r="F62" t="s">
        <v>321</v>
      </c>
      <c r="G62" t="s">
        <v>160</v>
      </c>
      <c r="H62" s="4" t="s">
        <v>322</v>
      </c>
      <c r="I62" s="4" t="s">
        <v>323</v>
      </c>
      <c r="J62" s="23" t="s">
        <v>65</v>
      </c>
      <c r="K62" s="23" t="str">
        <f t="shared" si="0"/>
        <v>DF_UIS</v>
      </c>
      <c r="L62" s="23" t="s">
        <v>116</v>
      </c>
    </row>
    <row r="63" spans="1:13" x14ac:dyDescent="0.35">
      <c r="A63" s="20">
        <v>62</v>
      </c>
      <c r="B63" s="20">
        <v>1</v>
      </c>
      <c r="C63" t="s">
        <v>66</v>
      </c>
      <c r="D63" t="s">
        <v>324</v>
      </c>
      <c r="E63" t="s">
        <v>325</v>
      </c>
      <c r="F63" t="s">
        <v>321</v>
      </c>
      <c r="G63" t="s">
        <v>160</v>
      </c>
      <c r="H63" s="4" t="s">
        <v>326</v>
      </c>
      <c r="I63" s="4" t="s">
        <v>327</v>
      </c>
      <c r="J63" s="23" t="s">
        <v>65</v>
      </c>
      <c r="K63" s="23" t="str">
        <f t="shared" si="0"/>
        <v>DF_UIS</v>
      </c>
      <c r="L63" s="23" t="s">
        <v>116</v>
      </c>
    </row>
    <row r="64" spans="1:13" x14ac:dyDescent="0.35">
      <c r="A64" s="20">
        <v>63</v>
      </c>
      <c r="B64" s="20">
        <v>1</v>
      </c>
      <c r="C64" t="s">
        <v>66</v>
      </c>
      <c r="D64" t="s">
        <v>328</v>
      </c>
      <c r="E64" t="s">
        <v>329</v>
      </c>
      <c r="F64" t="s">
        <v>321</v>
      </c>
      <c r="G64" t="s">
        <v>160</v>
      </c>
      <c r="H64" s="4" t="s">
        <v>330</v>
      </c>
      <c r="I64" s="4" t="s">
        <v>331</v>
      </c>
      <c r="J64" s="23" t="s">
        <v>65</v>
      </c>
      <c r="K64" s="23" t="str">
        <f t="shared" si="0"/>
        <v>DF_UIS</v>
      </c>
      <c r="L64" s="23" t="s">
        <v>116</v>
      </c>
    </row>
    <row r="65" spans="1:12" x14ac:dyDescent="0.35">
      <c r="A65" s="20">
        <v>64</v>
      </c>
      <c r="B65" s="20">
        <v>1</v>
      </c>
      <c r="C65" t="s">
        <v>66</v>
      </c>
      <c r="D65" t="s">
        <v>332</v>
      </c>
      <c r="E65" t="s">
        <v>333</v>
      </c>
      <c r="F65" t="s">
        <v>334</v>
      </c>
      <c r="G65" t="s">
        <v>160</v>
      </c>
      <c r="H65" s="4" t="s">
        <v>335</v>
      </c>
      <c r="I65" s="4" t="s">
        <v>336</v>
      </c>
      <c r="K65" s="23" t="str">
        <f t="shared" ref="K65:K71" si="2">IF(I65="-", "-", LEFT(RIGHT(I65, LEN(I65)-FIND("SPC,", I65)-3), FIND(",", RIGHT(I65, LEN(I65)-FIND("SPC,", I65)-3))-1))</f>
        <v>DF_SDG_04</v>
      </c>
      <c r="L65" s="23" t="s">
        <v>252</v>
      </c>
    </row>
    <row r="66" spans="1:12" x14ac:dyDescent="0.35">
      <c r="A66" s="20">
        <v>65</v>
      </c>
      <c r="B66" s="20">
        <v>1</v>
      </c>
      <c r="C66" t="s">
        <v>66</v>
      </c>
      <c r="D66" t="s">
        <v>337</v>
      </c>
      <c r="E66" t="s">
        <v>338</v>
      </c>
      <c r="F66" t="s">
        <v>334</v>
      </c>
      <c r="G66" t="s">
        <v>160</v>
      </c>
      <c r="H66" s="4" t="s">
        <v>339</v>
      </c>
      <c r="I66" s="4" t="s">
        <v>340</v>
      </c>
      <c r="K66" s="23" t="str">
        <f t="shared" si="2"/>
        <v>DF_SDG_04</v>
      </c>
      <c r="L66" s="23" t="s">
        <v>252</v>
      </c>
    </row>
    <row r="67" spans="1:12" x14ac:dyDescent="0.35">
      <c r="A67" s="20">
        <v>66</v>
      </c>
      <c r="B67" s="20">
        <v>1</v>
      </c>
      <c r="C67" t="s">
        <v>66</v>
      </c>
      <c r="D67" t="s">
        <v>341</v>
      </c>
      <c r="E67" t="s">
        <v>342</v>
      </c>
      <c r="F67" t="s">
        <v>334</v>
      </c>
      <c r="G67" t="s">
        <v>160</v>
      </c>
      <c r="H67" s="4" t="s">
        <v>343</v>
      </c>
      <c r="I67" s="4" t="s">
        <v>344</v>
      </c>
      <c r="K67" s="23" t="str">
        <f t="shared" si="2"/>
        <v>DF_SDG_04</v>
      </c>
      <c r="L67" s="23" t="s">
        <v>252</v>
      </c>
    </row>
    <row r="68" spans="1:12" x14ac:dyDescent="0.35">
      <c r="A68" s="20">
        <v>67</v>
      </c>
      <c r="B68" s="20">
        <v>1</v>
      </c>
      <c r="C68" t="s">
        <v>66</v>
      </c>
      <c r="D68" t="s">
        <v>345</v>
      </c>
      <c r="E68" t="s">
        <v>346</v>
      </c>
      <c r="F68" t="s">
        <v>334</v>
      </c>
      <c r="G68" t="s">
        <v>160</v>
      </c>
      <c r="H68" s="4" t="s">
        <v>347</v>
      </c>
      <c r="I68" s="4" t="s">
        <v>348</v>
      </c>
      <c r="K68" s="23" t="str">
        <f t="shared" si="2"/>
        <v>DF_SDG_04</v>
      </c>
      <c r="L68" s="23" t="s">
        <v>252</v>
      </c>
    </row>
    <row r="69" spans="1:12" x14ac:dyDescent="0.35">
      <c r="A69" s="20">
        <v>68</v>
      </c>
      <c r="B69" s="20">
        <v>1</v>
      </c>
      <c r="C69" t="s">
        <v>66</v>
      </c>
      <c r="D69" t="s">
        <v>349</v>
      </c>
      <c r="E69" t="s">
        <v>350</v>
      </c>
      <c r="F69" t="s">
        <v>334</v>
      </c>
      <c r="G69" t="s">
        <v>160</v>
      </c>
      <c r="H69" s="4" t="s">
        <v>351</v>
      </c>
      <c r="I69" s="4" t="s">
        <v>352</v>
      </c>
      <c r="K69" s="23" t="str">
        <f t="shared" si="2"/>
        <v>DF_SDG_04</v>
      </c>
      <c r="L69" s="23" t="s">
        <v>252</v>
      </c>
    </row>
    <row r="70" spans="1:12" x14ac:dyDescent="0.35">
      <c r="A70" s="20">
        <v>69</v>
      </c>
      <c r="B70" s="20">
        <v>1</v>
      </c>
      <c r="C70" t="s">
        <v>66</v>
      </c>
      <c r="D70" t="s">
        <v>353</v>
      </c>
      <c r="E70" t="s">
        <v>354</v>
      </c>
      <c r="F70" t="s">
        <v>334</v>
      </c>
      <c r="G70" t="s">
        <v>160</v>
      </c>
      <c r="H70" s="4" t="s">
        <v>355</v>
      </c>
      <c r="I70" s="4" t="s">
        <v>356</v>
      </c>
      <c r="J70" s="23" t="s">
        <v>65</v>
      </c>
      <c r="K70" s="23" t="str">
        <f t="shared" si="2"/>
        <v>DF_SDG_04</v>
      </c>
      <c r="L70" s="23" t="s">
        <v>252</v>
      </c>
    </row>
    <row r="71" spans="1:12" x14ac:dyDescent="0.35">
      <c r="A71" s="20">
        <v>70</v>
      </c>
      <c r="B71" s="20">
        <v>0</v>
      </c>
      <c r="C71" t="s">
        <v>66</v>
      </c>
      <c r="D71" t="s">
        <v>357</v>
      </c>
      <c r="E71" t="s">
        <v>65</v>
      </c>
      <c r="F71" t="s">
        <v>358</v>
      </c>
      <c r="G71" t="s">
        <v>65</v>
      </c>
      <c r="H71" t="s">
        <v>65</v>
      </c>
      <c r="I71" t="s">
        <v>65</v>
      </c>
      <c r="J71" s="23" t="s">
        <v>65</v>
      </c>
      <c r="K71" s="23" t="str">
        <f t="shared" si="2"/>
        <v>-</v>
      </c>
    </row>
    <row r="72" spans="1:12" x14ac:dyDescent="0.35">
      <c r="A72" s="20">
        <v>71</v>
      </c>
      <c r="B72" s="20">
        <v>0</v>
      </c>
      <c r="C72" t="s">
        <v>66</v>
      </c>
      <c r="D72" t="s">
        <v>359</v>
      </c>
      <c r="E72" t="s">
        <v>65</v>
      </c>
      <c r="F72" t="s">
        <v>360</v>
      </c>
      <c r="G72" t="s">
        <v>65</v>
      </c>
      <c r="H72" t="s">
        <v>65</v>
      </c>
      <c r="I72" t="s">
        <v>65</v>
      </c>
      <c r="J72" s="23" t="s">
        <v>65</v>
      </c>
      <c r="K72" s="23" t="str">
        <f t="shared" si="0"/>
        <v>-</v>
      </c>
    </row>
    <row r="73" spans="1:12" x14ac:dyDescent="0.35">
      <c r="A73" s="20">
        <v>72</v>
      </c>
      <c r="B73" s="20">
        <v>0</v>
      </c>
      <c r="C73" t="s">
        <v>66</v>
      </c>
      <c r="D73" t="s">
        <v>361</v>
      </c>
      <c r="E73" t="s">
        <v>65</v>
      </c>
      <c r="F73" t="s">
        <v>362</v>
      </c>
      <c r="G73" t="s">
        <v>65</v>
      </c>
      <c r="H73" t="s">
        <v>65</v>
      </c>
      <c r="I73" t="s">
        <v>65</v>
      </c>
      <c r="J73" s="23" t="s">
        <v>65</v>
      </c>
      <c r="K73" s="23" t="str">
        <f t="shared" si="0"/>
        <v>-</v>
      </c>
    </row>
    <row r="74" spans="1:12" ht="15" customHeight="1" x14ac:dyDescent="0.35">
      <c r="A74" s="20">
        <v>73</v>
      </c>
      <c r="B74" s="20">
        <v>0</v>
      </c>
      <c r="C74" t="s">
        <v>66</v>
      </c>
      <c r="D74" t="s">
        <v>363</v>
      </c>
      <c r="E74" t="s">
        <v>65</v>
      </c>
      <c r="F74" t="s">
        <v>364</v>
      </c>
      <c r="G74" t="s">
        <v>65</v>
      </c>
      <c r="H74" t="s">
        <v>65</v>
      </c>
      <c r="I74" t="s">
        <v>65</v>
      </c>
      <c r="J74" s="23" t="s">
        <v>65</v>
      </c>
      <c r="K74" s="23" t="str">
        <f t="shared" si="0"/>
        <v>-</v>
      </c>
    </row>
    <row r="75" spans="1:12" x14ac:dyDescent="0.35">
      <c r="A75" s="20">
        <v>74</v>
      </c>
      <c r="B75" s="20">
        <v>1</v>
      </c>
      <c r="C75" s="3" t="s">
        <v>62</v>
      </c>
      <c r="D75" s="3" t="s">
        <v>365</v>
      </c>
      <c r="E75" s="3" t="s">
        <v>366</v>
      </c>
      <c r="F75" s="3"/>
      <c r="G75" s="3" t="s">
        <v>65</v>
      </c>
      <c r="H75" s="3"/>
      <c r="I75" s="3" t="s">
        <v>65</v>
      </c>
      <c r="J75" s="25" t="s">
        <v>65</v>
      </c>
      <c r="K75" s="23" t="str">
        <f t="shared" si="0"/>
        <v>-</v>
      </c>
    </row>
    <row r="76" spans="1:12" x14ac:dyDescent="0.35">
      <c r="A76" s="20">
        <v>75</v>
      </c>
      <c r="B76" s="20">
        <v>1</v>
      </c>
      <c r="C76" t="s">
        <v>66</v>
      </c>
      <c r="D76" t="s">
        <v>367</v>
      </c>
      <c r="E76" t="s">
        <v>368</v>
      </c>
      <c r="F76" t="s">
        <v>368</v>
      </c>
      <c r="G76" t="s">
        <v>160</v>
      </c>
      <c r="H76" s="21" t="s">
        <v>369</v>
      </c>
      <c r="I76" s="21" t="s">
        <v>370</v>
      </c>
      <c r="J76" s="24" t="s">
        <v>65</v>
      </c>
      <c r="K76" s="24" t="str">
        <f t="shared" si="0"/>
        <v>DF_NATIONAL_ACCOUNTS</v>
      </c>
      <c r="L76" s="23" t="s">
        <v>371</v>
      </c>
    </row>
    <row r="77" spans="1:12" x14ac:dyDescent="0.35">
      <c r="A77" s="20">
        <v>76</v>
      </c>
      <c r="B77" s="20">
        <v>1</v>
      </c>
      <c r="C77" t="s">
        <v>66</v>
      </c>
      <c r="D77" t="s">
        <v>372</v>
      </c>
      <c r="E77" s="6" t="s">
        <v>373</v>
      </c>
      <c r="F77" t="s">
        <v>374</v>
      </c>
      <c r="G77" t="s">
        <v>160</v>
      </c>
      <c r="H77" s="4" t="s">
        <v>375</v>
      </c>
      <c r="I77" s="4" t="s">
        <v>376</v>
      </c>
      <c r="J77" s="23" t="s">
        <v>65</v>
      </c>
      <c r="K77" s="23" t="str">
        <f t="shared" si="0"/>
        <v>DF_SOCECO</v>
      </c>
    </row>
    <row r="78" spans="1:12" x14ac:dyDescent="0.35">
      <c r="A78" s="20">
        <v>77</v>
      </c>
      <c r="B78" s="20">
        <v>1</v>
      </c>
      <c r="C78" t="s">
        <v>66</v>
      </c>
      <c r="D78" t="s">
        <v>377</v>
      </c>
      <c r="E78" s="6" t="s">
        <v>378</v>
      </c>
      <c r="F78" t="s">
        <v>379</v>
      </c>
      <c r="G78" t="s">
        <v>160</v>
      </c>
      <c r="H78" s="4" t="s">
        <v>380</v>
      </c>
      <c r="I78" s="4" t="s">
        <v>381</v>
      </c>
      <c r="J78" s="23" t="s">
        <v>65</v>
      </c>
      <c r="K78" s="23" t="str">
        <f t="shared" si="0"/>
        <v>DF_WBWDI</v>
      </c>
      <c r="L78" s="23" t="s">
        <v>382</v>
      </c>
    </row>
    <row r="79" spans="1:12" x14ac:dyDescent="0.35">
      <c r="A79" s="20">
        <v>78</v>
      </c>
      <c r="B79" s="20">
        <v>1</v>
      </c>
      <c r="C79" t="s">
        <v>66</v>
      </c>
      <c r="D79" t="s">
        <v>383</v>
      </c>
      <c r="E79" s="6" t="s">
        <v>384</v>
      </c>
      <c r="F79" t="s">
        <v>379</v>
      </c>
      <c r="G79" t="s">
        <v>160</v>
      </c>
      <c r="H79" s="4" t="s">
        <v>385</v>
      </c>
      <c r="I79" s="4" t="s">
        <v>386</v>
      </c>
      <c r="J79" s="23" t="s">
        <v>65</v>
      </c>
      <c r="K79" s="23" t="str">
        <f t="shared" si="0"/>
        <v>DF_WBWDI</v>
      </c>
      <c r="L79" s="23" t="s">
        <v>382</v>
      </c>
    </row>
    <row r="80" spans="1:12" x14ac:dyDescent="0.35">
      <c r="A80" s="20">
        <v>79</v>
      </c>
      <c r="B80" s="20">
        <v>1</v>
      </c>
      <c r="C80" t="s">
        <v>66</v>
      </c>
      <c r="D80" t="s">
        <v>387</v>
      </c>
      <c r="E80" s="6" t="s">
        <v>388</v>
      </c>
      <c r="F80" t="s">
        <v>379</v>
      </c>
      <c r="G80" t="s">
        <v>160</v>
      </c>
      <c r="H80" s="4" t="s">
        <v>389</v>
      </c>
      <c r="I80" s="4" t="s">
        <v>390</v>
      </c>
      <c r="J80" s="23" t="s">
        <v>65</v>
      </c>
      <c r="K80" s="23" t="str">
        <f t="shared" si="0"/>
        <v>DF_WBWDI</v>
      </c>
      <c r="L80" s="23" t="s">
        <v>382</v>
      </c>
    </row>
    <row r="81" spans="1:12" x14ac:dyDescent="0.35">
      <c r="A81" s="20">
        <v>80</v>
      </c>
      <c r="B81" s="20">
        <v>1</v>
      </c>
      <c r="C81" t="s">
        <v>66</v>
      </c>
      <c r="D81" t="s">
        <v>391</v>
      </c>
      <c r="E81" t="s">
        <v>392</v>
      </c>
      <c r="F81" t="s">
        <v>393</v>
      </c>
      <c r="G81" t="s">
        <v>160</v>
      </c>
      <c r="H81" s="4" t="s">
        <v>394</v>
      </c>
      <c r="I81" s="4" t="s">
        <v>395</v>
      </c>
      <c r="J81" s="23" t="s">
        <v>65</v>
      </c>
      <c r="K81" s="23" t="str">
        <f t="shared" si="0"/>
        <v>DF_SDG_01</v>
      </c>
    </row>
    <row r="82" spans="1:12" x14ac:dyDescent="0.35">
      <c r="A82" s="20">
        <v>81</v>
      </c>
      <c r="B82" s="20">
        <v>1</v>
      </c>
      <c r="C82" t="s">
        <v>66</v>
      </c>
      <c r="D82" t="s">
        <v>396</v>
      </c>
      <c r="E82" s="29" t="s">
        <v>397</v>
      </c>
      <c r="F82" t="s">
        <v>397</v>
      </c>
      <c r="G82" t="s">
        <v>160</v>
      </c>
      <c r="H82" s="4" t="s">
        <v>398</v>
      </c>
      <c r="I82" s="4" t="s">
        <v>399</v>
      </c>
      <c r="J82" s="23" t="s">
        <v>65</v>
      </c>
      <c r="K82" s="23" t="str">
        <f t="shared" si="0"/>
        <v>DF_SDG_08</v>
      </c>
    </row>
    <row r="83" spans="1:12" x14ac:dyDescent="0.35">
      <c r="A83" s="20">
        <v>82</v>
      </c>
      <c r="B83" s="20">
        <v>1</v>
      </c>
      <c r="C83" t="s">
        <v>66</v>
      </c>
      <c r="D83" t="s">
        <v>400</v>
      </c>
      <c r="E83" t="s">
        <v>401</v>
      </c>
      <c r="F83" t="s">
        <v>401</v>
      </c>
      <c r="G83" t="s">
        <v>160</v>
      </c>
      <c r="H83" s="4" t="s">
        <v>402</v>
      </c>
      <c r="I83" s="4" t="s">
        <v>403</v>
      </c>
      <c r="J83" s="23" t="s">
        <v>65</v>
      </c>
      <c r="K83" s="23" t="str">
        <f t="shared" si="0"/>
        <v>DF_SDG_08</v>
      </c>
    </row>
    <row r="84" spans="1:12" x14ac:dyDescent="0.35">
      <c r="A84" s="20">
        <v>83</v>
      </c>
      <c r="B84" s="20">
        <v>1</v>
      </c>
      <c r="C84" t="s">
        <v>66</v>
      </c>
      <c r="D84" t="s">
        <v>404</v>
      </c>
      <c r="E84" t="s">
        <v>405</v>
      </c>
      <c r="F84" t="s">
        <v>405</v>
      </c>
      <c r="G84" t="s">
        <v>160</v>
      </c>
      <c r="H84" s="4" t="s">
        <v>406</v>
      </c>
      <c r="I84" s="4" t="s">
        <v>407</v>
      </c>
      <c r="J84" s="23" t="s">
        <v>65</v>
      </c>
      <c r="K84" s="23" t="str">
        <f t="shared" si="0"/>
        <v>DF_WBWDI</v>
      </c>
    </row>
    <row r="85" spans="1:12" x14ac:dyDescent="0.35">
      <c r="A85" s="20">
        <v>84</v>
      </c>
      <c r="B85" s="20">
        <v>1</v>
      </c>
      <c r="C85" t="s">
        <v>66</v>
      </c>
      <c r="D85" t="s">
        <v>408</v>
      </c>
      <c r="E85" t="s">
        <v>409</v>
      </c>
      <c r="F85" t="s">
        <v>409</v>
      </c>
      <c r="G85" t="s">
        <v>160</v>
      </c>
      <c r="H85" s="4" t="s">
        <v>410</v>
      </c>
      <c r="I85" s="4" t="s">
        <v>411</v>
      </c>
      <c r="J85" s="23" t="s">
        <v>65</v>
      </c>
      <c r="K85" s="23" t="str">
        <f t="shared" ref="K85:K149" si="3">IF(I85="-", "-", LEFT(RIGHT(I85, LEN(I85)-FIND("SPC,", I85)-3), FIND(",", RIGHT(I85, LEN(I85)-FIND("SPC,", I85)-3))-1))</f>
        <v>DF_SDG_08</v>
      </c>
    </row>
    <row r="86" spans="1:12" x14ac:dyDescent="0.35">
      <c r="A86" s="20">
        <v>85</v>
      </c>
      <c r="B86" s="20">
        <v>1</v>
      </c>
      <c r="C86" t="s">
        <v>66</v>
      </c>
      <c r="D86" t="s">
        <v>412</v>
      </c>
      <c r="E86" t="s">
        <v>413</v>
      </c>
      <c r="F86" t="s">
        <v>414</v>
      </c>
      <c r="G86" t="s">
        <v>160</v>
      </c>
      <c r="H86" s="21" t="s">
        <v>415</v>
      </c>
      <c r="I86" s="21" t="s">
        <v>416</v>
      </c>
      <c r="J86" s="24" t="s">
        <v>65</v>
      </c>
      <c r="K86" s="24" t="str">
        <f t="shared" si="3"/>
        <v>DF_NATIONAL_ACCOUNTS</v>
      </c>
      <c r="L86" s="23" t="s">
        <v>417</v>
      </c>
    </row>
    <row r="87" spans="1:12" x14ac:dyDescent="0.35">
      <c r="A87" s="20">
        <v>86</v>
      </c>
      <c r="B87" s="20">
        <v>0</v>
      </c>
      <c r="C87" t="s">
        <v>66</v>
      </c>
      <c r="D87" t="s">
        <v>418</v>
      </c>
      <c r="E87" s="29" t="s">
        <v>113</v>
      </c>
      <c r="F87" t="s">
        <v>113</v>
      </c>
      <c r="G87" t="s">
        <v>65</v>
      </c>
      <c r="H87" t="s">
        <v>65</v>
      </c>
      <c r="I87" t="s">
        <v>65</v>
      </c>
      <c r="J87" s="23" t="s">
        <v>65</v>
      </c>
      <c r="K87" s="23" t="str">
        <f t="shared" si="3"/>
        <v>-</v>
      </c>
    </row>
    <row r="88" spans="1:12" x14ac:dyDescent="0.35">
      <c r="A88" s="20">
        <v>87</v>
      </c>
      <c r="B88" s="20">
        <v>1</v>
      </c>
      <c r="C88" s="3" t="s">
        <v>62</v>
      </c>
      <c r="D88" s="3" t="s">
        <v>419</v>
      </c>
      <c r="E88" s="3" t="s">
        <v>420</v>
      </c>
      <c r="F88" s="3"/>
      <c r="G88" s="3" t="s">
        <v>65</v>
      </c>
      <c r="H88" s="3"/>
      <c r="I88" s="3" t="s">
        <v>65</v>
      </c>
      <c r="J88" s="25" t="s">
        <v>65</v>
      </c>
      <c r="K88" s="23" t="str">
        <f t="shared" si="3"/>
        <v>-</v>
      </c>
    </row>
    <row r="89" spans="1:12" x14ac:dyDescent="0.35">
      <c r="A89" s="20">
        <v>88</v>
      </c>
      <c r="B89" s="20">
        <v>1</v>
      </c>
      <c r="C89" t="s">
        <v>66</v>
      </c>
      <c r="D89" t="s">
        <v>421</v>
      </c>
      <c r="E89" t="s">
        <v>422</v>
      </c>
      <c r="F89" t="s">
        <v>423</v>
      </c>
      <c r="G89" t="s">
        <v>160</v>
      </c>
      <c r="H89" s="4" t="s">
        <v>424</v>
      </c>
      <c r="I89" s="4" t="s">
        <v>425</v>
      </c>
      <c r="J89" s="23" t="s">
        <v>65</v>
      </c>
      <c r="K89" s="23" t="str">
        <f t="shared" si="3"/>
        <v>DF_EGOV</v>
      </c>
    </row>
    <row r="90" spans="1:12" x14ac:dyDescent="0.35">
      <c r="A90" s="20">
        <v>89</v>
      </c>
      <c r="B90" s="20">
        <v>1</v>
      </c>
      <c r="C90" t="s">
        <v>66</v>
      </c>
      <c r="D90" t="s">
        <v>426</v>
      </c>
      <c r="E90" t="s">
        <v>427</v>
      </c>
      <c r="F90" t="s">
        <v>428</v>
      </c>
      <c r="G90" t="s">
        <v>160</v>
      </c>
      <c r="H90" s="4" t="s">
        <v>429</v>
      </c>
      <c r="I90" s="4" t="s">
        <v>430</v>
      </c>
      <c r="J90" s="23" t="s">
        <v>65</v>
      </c>
      <c r="K90" s="23" t="str">
        <f t="shared" si="3"/>
        <v>DF_TOURISM_EARNINGS</v>
      </c>
    </row>
    <row r="91" spans="1:12" x14ac:dyDescent="0.35">
      <c r="A91" s="20">
        <v>90</v>
      </c>
      <c r="B91" s="20">
        <v>1</v>
      </c>
      <c r="C91" t="s">
        <v>66</v>
      </c>
      <c r="D91" t="s">
        <v>431</v>
      </c>
      <c r="E91" t="s">
        <v>432</v>
      </c>
      <c r="F91" t="s">
        <v>433</v>
      </c>
      <c r="G91" t="s">
        <v>160</v>
      </c>
      <c r="H91" s="4" t="s">
        <v>434</v>
      </c>
      <c r="I91" s="4" t="s">
        <v>435</v>
      </c>
      <c r="J91" s="23" t="s">
        <v>65</v>
      </c>
      <c r="K91" s="23" t="str">
        <f t="shared" si="3"/>
        <v>DF_TOURISM_EARNINGS</v>
      </c>
    </row>
    <row r="92" spans="1:12" x14ac:dyDescent="0.35">
      <c r="A92" s="20">
        <v>91</v>
      </c>
      <c r="B92" s="20">
        <v>1</v>
      </c>
      <c r="C92" t="s">
        <v>66</v>
      </c>
      <c r="D92" t="s">
        <v>436</v>
      </c>
      <c r="E92" t="s">
        <v>437</v>
      </c>
      <c r="F92" t="s">
        <v>438</v>
      </c>
      <c r="G92" t="s">
        <v>160</v>
      </c>
      <c r="H92" s="4" t="s">
        <v>439</v>
      </c>
      <c r="I92" s="4" t="s">
        <v>440</v>
      </c>
      <c r="J92" s="23" t="s">
        <v>65</v>
      </c>
      <c r="K92" s="23" t="str">
        <f t="shared" si="3"/>
        <v>DF_OVERSEAS_VISITORS</v>
      </c>
    </row>
    <row r="93" spans="1:12" x14ac:dyDescent="0.35">
      <c r="A93" s="20">
        <v>92</v>
      </c>
      <c r="B93" s="20">
        <v>1</v>
      </c>
      <c r="C93" t="s">
        <v>66</v>
      </c>
      <c r="D93" t="s">
        <v>441</v>
      </c>
      <c r="E93" t="s">
        <v>442</v>
      </c>
      <c r="F93" t="s">
        <v>442</v>
      </c>
      <c r="G93" t="s">
        <v>160</v>
      </c>
      <c r="H93" s="4" t="s">
        <v>443</v>
      </c>
      <c r="I93" s="4" t="s">
        <v>444</v>
      </c>
      <c r="J93" s="23" t="s">
        <v>65</v>
      </c>
      <c r="K93" s="23" t="str">
        <f t="shared" si="3"/>
        <v>DF_WBDAI</v>
      </c>
    </row>
    <row r="94" spans="1:12" x14ac:dyDescent="0.35">
      <c r="A94" s="20">
        <v>93</v>
      </c>
      <c r="B94" s="20">
        <v>1</v>
      </c>
      <c r="C94" t="s">
        <v>66</v>
      </c>
      <c r="D94" t="s">
        <v>445</v>
      </c>
      <c r="E94" t="s">
        <v>446</v>
      </c>
      <c r="F94" t="s">
        <v>447</v>
      </c>
      <c r="G94" t="s">
        <v>160</v>
      </c>
      <c r="H94" s="4" t="s">
        <v>448</v>
      </c>
      <c r="I94" s="4" t="s">
        <v>449</v>
      </c>
      <c r="J94" s="23" t="s">
        <v>65</v>
      </c>
      <c r="K94" s="23" t="str">
        <f t="shared" si="3"/>
        <v>DF_DIGITAL_DEVELOPMENT</v>
      </c>
    </row>
    <row r="95" spans="1:12" x14ac:dyDescent="0.35">
      <c r="A95" s="20">
        <v>94</v>
      </c>
      <c r="B95" s="20">
        <v>1</v>
      </c>
      <c r="C95" t="s">
        <v>66</v>
      </c>
      <c r="D95" t="s">
        <v>450</v>
      </c>
      <c r="E95" t="s">
        <v>451</v>
      </c>
      <c r="F95" t="s">
        <v>452</v>
      </c>
      <c r="G95" t="s">
        <v>160</v>
      </c>
      <c r="H95" s="4" t="s">
        <v>453</v>
      </c>
      <c r="I95" s="4" t="s">
        <v>454</v>
      </c>
      <c r="J95" s="23" t="s">
        <v>65</v>
      </c>
      <c r="K95" s="23" t="str">
        <f t="shared" si="3"/>
        <v>DF_SDG_17</v>
      </c>
      <c r="L95" s="23" t="s">
        <v>183</v>
      </c>
    </row>
    <row r="96" spans="1:12" x14ac:dyDescent="0.35">
      <c r="A96" s="20">
        <v>95</v>
      </c>
      <c r="B96" s="20">
        <v>1</v>
      </c>
      <c r="C96" t="s">
        <v>66</v>
      </c>
      <c r="D96" t="s">
        <v>455</v>
      </c>
      <c r="E96" t="s">
        <v>456</v>
      </c>
      <c r="F96" t="s">
        <v>456</v>
      </c>
      <c r="G96" t="s">
        <v>160</v>
      </c>
      <c r="H96" s="4" t="s">
        <v>457</v>
      </c>
      <c r="I96" s="4" t="s">
        <v>458</v>
      </c>
      <c r="J96" s="23" t="s">
        <v>65</v>
      </c>
      <c r="K96" s="23" t="str">
        <f t="shared" si="3"/>
        <v>DF_NMDI_FIS</v>
      </c>
    </row>
    <row r="97" spans="1:12" x14ac:dyDescent="0.35">
      <c r="A97" s="20">
        <v>96</v>
      </c>
      <c r="B97" s="20">
        <v>1</v>
      </c>
      <c r="C97" t="s">
        <v>66</v>
      </c>
      <c r="D97" t="s">
        <v>459</v>
      </c>
      <c r="E97" t="s">
        <v>460</v>
      </c>
      <c r="F97" t="s">
        <v>460</v>
      </c>
      <c r="G97" t="s">
        <v>160</v>
      </c>
      <c r="H97" s="4" t="s">
        <v>461</v>
      </c>
      <c r="I97" s="4" t="s">
        <v>462</v>
      </c>
      <c r="J97" s="23" t="s">
        <v>65</v>
      </c>
      <c r="K97" s="23" t="str">
        <f t="shared" si="3"/>
        <v>DF_NMDI_FIS</v>
      </c>
    </row>
    <row r="98" spans="1:12" x14ac:dyDescent="0.35">
      <c r="A98" s="20">
        <v>97</v>
      </c>
      <c r="B98" s="20">
        <v>1</v>
      </c>
      <c r="C98" s="3" t="s">
        <v>62</v>
      </c>
      <c r="D98" s="3" t="s">
        <v>463</v>
      </c>
      <c r="E98" s="3" t="s">
        <v>464</v>
      </c>
      <c r="F98" s="3"/>
      <c r="G98" s="3" t="s">
        <v>65</v>
      </c>
      <c r="H98" s="3"/>
      <c r="I98" s="3" t="s">
        <v>65</v>
      </c>
      <c r="J98" s="25" t="s">
        <v>65</v>
      </c>
      <c r="K98" s="23" t="str">
        <f t="shared" si="3"/>
        <v>-</v>
      </c>
    </row>
    <row r="99" spans="1:12" x14ac:dyDescent="0.35">
      <c r="A99" s="20">
        <v>98</v>
      </c>
      <c r="B99" s="20">
        <v>1</v>
      </c>
      <c r="C99" t="s">
        <v>66</v>
      </c>
      <c r="D99" t="s">
        <v>465</v>
      </c>
      <c r="E99" t="s">
        <v>466</v>
      </c>
      <c r="F99" t="s">
        <v>467</v>
      </c>
      <c r="G99" t="s">
        <v>160</v>
      </c>
      <c r="H99" s="4" t="s">
        <v>468</v>
      </c>
      <c r="I99" s="4" t="s">
        <v>469</v>
      </c>
      <c r="J99" s="23" t="s">
        <v>65</v>
      </c>
      <c r="K99" s="23" t="str">
        <f t="shared" si="3"/>
        <v>DF_SDG_07</v>
      </c>
      <c r="L99" s="23" t="s">
        <v>183</v>
      </c>
    </row>
    <row r="100" spans="1:12" x14ac:dyDescent="0.35">
      <c r="A100" s="20">
        <v>99</v>
      </c>
      <c r="B100" s="20">
        <v>1</v>
      </c>
      <c r="C100" t="s">
        <v>66</v>
      </c>
      <c r="D100" t="s">
        <v>470</v>
      </c>
      <c r="E100" t="s">
        <v>471</v>
      </c>
      <c r="F100" t="s">
        <v>472</v>
      </c>
      <c r="G100" t="s">
        <v>160</v>
      </c>
      <c r="H100" s="4" t="s">
        <v>473</v>
      </c>
      <c r="I100" s="4" t="s">
        <v>474</v>
      </c>
      <c r="J100" s="23" t="s">
        <v>65</v>
      </c>
      <c r="K100" s="23" t="str">
        <f t="shared" si="3"/>
        <v>DF_SDG_07</v>
      </c>
      <c r="L100" s="23" t="s">
        <v>183</v>
      </c>
    </row>
    <row r="101" spans="1:12" x14ac:dyDescent="0.35">
      <c r="A101" s="20">
        <v>100</v>
      </c>
      <c r="B101" s="20">
        <v>1</v>
      </c>
      <c r="C101" t="s">
        <v>66</v>
      </c>
      <c r="D101" t="s">
        <v>475</v>
      </c>
      <c r="E101" t="s">
        <v>476</v>
      </c>
      <c r="F101" t="s">
        <v>477</v>
      </c>
      <c r="G101" t="s">
        <v>160</v>
      </c>
      <c r="H101" s="4" t="s">
        <v>478</v>
      </c>
      <c r="I101" s="4" t="s">
        <v>479</v>
      </c>
      <c r="J101" s="23" t="s">
        <v>65</v>
      </c>
      <c r="K101" s="23" t="str">
        <f t="shared" si="3"/>
        <v>DF_SDG_07</v>
      </c>
      <c r="L101" s="23" t="s">
        <v>183</v>
      </c>
    </row>
    <row r="102" spans="1:12" x14ac:dyDescent="0.35">
      <c r="A102" s="20">
        <v>101</v>
      </c>
      <c r="B102" s="20">
        <v>1</v>
      </c>
      <c r="C102" t="s">
        <v>66</v>
      </c>
      <c r="D102" t="s">
        <v>480</v>
      </c>
      <c r="E102" s="6" t="s">
        <v>481</v>
      </c>
      <c r="F102" t="s">
        <v>481</v>
      </c>
      <c r="G102" t="s">
        <v>160</v>
      </c>
      <c r="H102" s="4" t="s">
        <v>482</v>
      </c>
      <c r="I102" s="4" t="s">
        <v>483</v>
      </c>
      <c r="J102" s="23" t="s">
        <v>65</v>
      </c>
      <c r="K102" s="23" t="str">
        <f t="shared" si="3"/>
        <v>DF_WBWDI</v>
      </c>
    </row>
    <row r="103" spans="1:12" x14ac:dyDescent="0.35">
      <c r="A103" s="20">
        <v>102</v>
      </c>
      <c r="B103" s="20">
        <v>1</v>
      </c>
      <c r="C103" t="s">
        <v>66</v>
      </c>
      <c r="D103" t="s">
        <v>484</v>
      </c>
      <c r="E103" t="s">
        <v>485</v>
      </c>
      <c r="F103" t="s">
        <v>486</v>
      </c>
      <c r="G103" t="s">
        <v>160</v>
      </c>
      <c r="H103" s="4" t="s">
        <v>487</v>
      </c>
      <c r="I103" s="4" t="s">
        <v>488</v>
      </c>
      <c r="J103" s="23" t="s">
        <v>65</v>
      </c>
      <c r="K103" s="23" t="str">
        <f t="shared" si="3"/>
        <v>DF_NMDI</v>
      </c>
    </row>
    <row r="104" spans="1:12" x14ac:dyDescent="0.35">
      <c r="A104" s="20">
        <v>103</v>
      </c>
      <c r="B104" s="20">
        <v>1</v>
      </c>
      <c r="C104" t="s">
        <v>66</v>
      </c>
      <c r="D104" t="s">
        <v>489</v>
      </c>
      <c r="E104" t="s">
        <v>490</v>
      </c>
      <c r="F104" t="s">
        <v>491</v>
      </c>
      <c r="G104" t="s">
        <v>160</v>
      </c>
      <c r="H104" s="4" t="s">
        <v>492</v>
      </c>
      <c r="I104" s="4" t="s">
        <v>493</v>
      </c>
      <c r="J104" s="23" t="s">
        <v>65</v>
      </c>
      <c r="K104" s="23" t="str">
        <f t="shared" si="3"/>
        <v>DF_NMDI</v>
      </c>
    </row>
    <row r="105" spans="1:12" x14ac:dyDescent="0.35">
      <c r="A105" s="20">
        <v>104</v>
      </c>
      <c r="B105" s="20">
        <v>1</v>
      </c>
      <c r="C105" s="3" t="s">
        <v>62</v>
      </c>
      <c r="D105" s="3" t="s">
        <v>494</v>
      </c>
      <c r="E105" s="3" t="s">
        <v>495</v>
      </c>
      <c r="F105" s="3"/>
      <c r="G105" s="3" t="s">
        <v>65</v>
      </c>
      <c r="H105" s="3"/>
      <c r="I105" s="3" t="s">
        <v>65</v>
      </c>
      <c r="J105" s="25" t="s">
        <v>65</v>
      </c>
      <c r="K105" s="23" t="str">
        <f t="shared" si="3"/>
        <v>-</v>
      </c>
    </row>
    <row r="106" spans="1:12" x14ac:dyDescent="0.35">
      <c r="A106" s="20">
        <v>105</v>
      </c>
      <c r="B106" s="20">
        <v>0</v>
      </c>
      <c r="C106" t="s">
        <v>66</v>
      </c>
      <c r="D106" t="s">
        <v>496</v>
      </c>
      <c r="E106" s="29" t="s">
        <v>497</v>
      </c>
      <c r="F106" t="s">
        <v>497</v>
      </c>
      <c r="G106" t="s">
        <v>65</v>
      </c>
      <c r="H106" t="s">
        <v>65</v>
      </c>
      <c r="I106" t="s">
        <v>65</v>
      </c>
      <c r="J106" s="23" t="s">
        <v>65</v>
      </c>
      <c r="K106" s="23" t="str">
        <f t="shared" si="3"/>
        <v>-</v>
      </c>
    </row>
    <row r="107" spans="1:12" x14ac:dyDescent="0.35">
      <c r="A107" s="20">
        <v>106</v>
      </c>
      <c r="B107" s="20">
        <v>1</v>
      </c>
      <c r="C107" t="s">
        <v>66</v>
      </c>
      <c r="D107" t="s">
        <v>498</v>
      </c>
      <c r="E107" t="s">
        <v>499</v>
      </c>
      <c r="F107" t="s">
        <v>500</v>
      </c>
      <c r="G107" t="s">
        <v>160</v>
      </c>
      <c r="H107" s="21" t="s">
        <v>501</v>
      </c>
      <c r="I107" s="21" t="s">
        <v>502</v>
      </c>
      <c r="J107" s="24" t="s">
        <v>65</v>
      </c>
      <c r="K107" s="24" t="str">
        <f t="shared" si="3"/>
        <v>DF_WBWDI</v>
      </c>
      <c r="L107" s="23" t="s">
        <v>503</v>
      </c>
    </row>
    <row r="108" spans="1:12" x14ac:dyDescent="0.35">
      <c r="A108" s="20">
        <v>107</v>
      </c>
      <c r="B108" s="20">
        <v>0</v>
      </c>
      <c r="C108" t="s">
        <v>66</v>
      </c>
      <c r="D108" t="s">
        <v>504</v>
      </c>
      <c r="E108" s="28" t="s">
        <v>505</v>
      </c>
      <c r="F108" t="s">
        <v>505</v>
      </c>
      <c r="G108" t="s">
        <v>65</v>
      </c>
      <c r="H108" t="s">
        <v>65</v>
      </c>
      <c r="I108" t="s">
        <v>65</v>
      </c>
      <c r="J108" s="23" t="s">
        <v>65</v>
      </c>
      <c r="K108" s="23" t="str">
        <f t="shared" si="3"/>
        <v>-</v>
      </c>
    </row>
    <row r="109" spans="1:12" x14ac:dyDescent="0.35">
      <c r="A109" s="20">
        <v>108</v>
      </c>
      <c r="B109" s="20">
        <v>1</v>
      </c>
      <c r="C109" t="s">
        <v>66</v>
      </c>
      <c r="D109" t="s">
        <v>506</v>
      </c>
      <c r="E109" t="s">
        <v>507</v>
      </c>
      <c r="F109" t="s">
        <v>507</v>
      </c>
      <c r="G109" t="s">
        <v>160</v>
      </c>
      <c r="H109" s="21" t="s">
        <v>508</v>
      </c>
      <c r="I109" s="21" t="s">
        <v>509</v>
      </c>
      <c r="J109" s="24" t="s">
        <v>65</v>
      </c>
      <c r="K109" s="24" t="str">
        <f>IF(I109="-", "-", LEFT(RIGHT(I109, LEN(I109)-FIND("SPC,", I109)-3), FIND(",", RIGHT(I109, LEN(I109)-FIND("SPC,", I109)-3))-1))</f>
        <v>DF_SDG_15</v>
      </c>
      <c r="L109" s="23" t="s">
        <v>510</v>
      </c>
    </row>
    <row r="110" spans="1:12" x14ac:dyDescent="0.35">
      <c r="A110" s="20">
        <v>109</v>
      </c>
      <c r="B110" s="20">
        <v>1</v>
      </c>
      <c r="C110" t="s">
        <v>66</v>
      </c>
      <c r="D110" t="s">
        <v>511</v>
      </c>
      <c r="E110" s="6" t="s">
        <v>512</v>
      </c>
      <c r="F110" t="s">
        <v>513</v>
      </c>
      <c r="G110" t="s">
        <v>160</v>
      </c>
      <c r="H110" s="4" t="s">
        <v>514</v>
      </c>
      <c r="I110" s="4" t="s">
        <v>515</v>
      </c>
      <c r="J110" s="23" t="s">
        <v>65</v>
      </c>
      <c r="K110" s="23" t="str">
        <f t="shared" si="3"/>
        <v>DF_SDG_11</v>
      </c>
      <c r="L110" s="23" t="s">
        <v>183</v>
      </c>
    </row>
    <row r="111" spans="1:12" x14ac:dyDescent="0.35">
      <c r="A111" s="20">
        <v>110</v>
      </c>
      <c r="B111" s="20">
        <v>1</v>
      </c>
      <c r="C111" t="s">
        <v>66</v>
      </c>
      <c r="D111" t="s">
        <v>516</v>
      </c>
      <c r="E111" s="6" t="s">
        <v>517</v>
      </c>
      <c r="F111" t="s">
        <v>513</v>
      </c>
      <c r="G111" t="s">
        <v>160</v>
      </c>
      <c r="H111" s="4" t="s">
        <v>518</v>
      </c>
      <c r="I111" s="4" t="s">
        <v>519</v>
      </c>
      <c r="J111" s="23" t="s">
        <v>65</v>
      </c>
      <c r="K111" s="23" t="str">
        <f t="shared" si="3"/>
        <v>DF_SDG_11</v>
      </c>
      <c r="L111" s="23" t="s">
        <v>183</v>
      </c>
    </row>
    <row r="112" spans="1:12" x14ac:dyDescent="0.35">
      <c r="A112" s="20">
        <v>111</v>
      </c>
      <c r="B112" s="20">
        <v>1</v>
      </c>
      <c r="C112" t="s">
        <v>66</v>
      </c>
      <c r="D112" t="s">
        <v>520</v>
      </c>
      <c r="E112" s="29" t="s">
        <v>521</v>
      </c>
      <c r="F112" t="s">
        <v>522</v>
      </c>
      <c r="G112" t="s">
        <v>160</v>
      </c>
      <c r="H112" s="4" t="s">
        <v>523</v>
      </c>
      <c r="I112" s="4" t="s">
        <v>524</v>
      </c>
      <c r="J112" s="23" t="s">
        <v>65</v>
      </c>
      <c r="K112" s="23" t="str">
        <f t="shared" si="3"/>
        <v>DF_SDG_11</v>
      </c>
      <c r="L112" s="23" t="s">
        <v>183</v>
      </c>
    </row>
    <row r="113" spans="1:12" x14ac:dyDescent="0.35">
      <c r="A113" s="20">
        <v>112</v>
      </c>
      <c r="B113" s="20">
        <v>1</v>
      </c>
      <c r="C113" t="s">
        <v>66</v>
      </c>
      <c r="D113" t="s">
        <v>525</v>
      </c>
      <c r="E113" t="s">
        <v>526</v>
      </c>
      <c r="F113" t="s">
        <v>526</v>
      </c>
      <c r="G113" t="s">
        <v>160</v>
      </c>
      <c r="H113" s="4" t="s">
        <v>527</v>
      </c>
      <c r="I113" s="4" t="s">
        <v>528</v>
      </c>
      <c r="J113" s="23" t="s">
        <v>65</v>
      </c>
      <c r="K113" s="23" t="str">
        <f t="shared" si="3"/>
        <v>DF_POP_URBAN</v>
      </c>
    </row>
    <row r="114" spans="1:12" x14ac:dyDescent="0.35">
      <c r="A114" s="20">
        <v>113</v>
      </c>
      <c r="B114" s="20">
        <v>1</v>
      </c>
      <c r="C114" t="s">
        <v>66</v>
      </c>
      <c r="D114" t="s">
        <v>529</v>
      </c>
      <c r="E114" t="s">
        <v>530</v>
      </c>
      <c r="F114" t="s">
        <v>531</v>
      </c>
      <c r="G114" t="s">
        <v>160</v>
      </c>
      <c r="H114" s="4" t="s">
        <v>532</v>
      </c>
      <c r="I114" s="4" t="s">
        <v>533</v>
      </c>
      <c r="J114" s="23" t="s">
        <v>65</v>
      </c>
      <c r="K114" s="23" t="str">
        <f t="shared" si="3"/>
        <v>DF_WBWDI</v>
      </c>
    </row>
    <row r="115" spans="1:12" x14ac:dyDescent="0.35">
      <c r="A115" s="20">
        <v>114</v>
      </c>
      <c r="B115" s="20">
        <v>1</v>
      </c>
      <c r="C115" t="s">
        <v>66</v>
      </c>
      <c r="D115" t="s">
        <v>534</v>
      </c>
      <c r="E115" t="s">
        <v>535</v>
      </c>
      <c r="F115" t="s">
        <v>536</v>
      </c>
      <c r="G115" t="s">
        <v>160</v>
      </c>
      <c r="H115" s="4" t="s">
        <v>537</v>
      </c>
      <c r="I115" s="4" t="s">
        <v>538</v>
      </c>
      <c r="J115" s="23" t="s">
        <v>65</v>
      </c>
      <c r="K115" s="23" t="str">
        <f t="shared" si="3"/>
        <v>DF_SDG_15</v>
      </c>
      <c r="L115" s="23" t="s">
        <v>183</v>
      </c>
    </row>
    <row r="116" spans="1:12" x14ac:dyDescent="0.35">
      <c r="A116" s="20">
        <v>115</v>
      </c>
      <c r="B116" s="20">
        <v>0</v>
      </c>
      <c r="C116" t="s">
        <v>66</v>
      </c>
      <c r="D116" t="s">
        <v>539</v>
      </c>
      <c r="E116" s="29" t="s">
        <v>540</v>
      </c>
      <c r="F116" t="s">
        <v>540</v>
      </c>
      <c r="G116" t="s">
        <v>65</v>
      </c>
      <c r="H116" t="s">
        <v>65</v>
      </c>
      <c r="I116" t="s">
        <v>65</v>
      </c>
      <c r="J116" s="23" t="s">
        <v>65</v>
      </c>
      <c r="K116" s="23" t="str">
        <f t="shared" si="3"/>
        <v>-</v>
      </c>
    </row>
    <row r="117" spans="1:12" x14ac:dyDescent="0.35">
      <c r="A117" s="20">
        <v>116</v>
      </c>
      <c r="B117" s="20">
        <v>1</v>
      </c>
      <c r="C117" s="3" t="s">
        <v>62</v>
      </c>
      <c r="D117" s="3" t="s">
        <v>541</v>
      </c>
      <c r="E117" s="3" t="s">
        <v>542</v>
      </c>
      <c r="F117" s="3"/>
      <c r="G117" s="3" t="s">
        <v>65</v>
      </c>
      <c r="H117" s="3"/>
      <c r="I117" s="3" t="s">
        <v>65</v>
      </c>
      <c r="J117" s="25" t="s">
        <v>65</v>
      </c>
      <c r="K117" s="23" t="str">
        <f t="shared" si="3"/>
        <v>-</v>
      </c>
    </row>
    <row r="118" spans="1:12" x14ac:dyDescent="0.35">
      <c r="A118" s="20">
        <v>117</v>
      </c>
      <c r="B118" s="20">
        <v>1</v>
      </c>
      <c r="C118" t="s">
        <v>66</v>
      </c>
      <c r="D118" t="s">
        <v>543</v>
      </c>
      <c r="E118" t="s">
        <v>544</v>
      </c>
      <c r="F118" t="s">
        <v>544</v>
      </c>
      <c r="G118" t="s">
        <v>160</v>
      </c>
      <c r="H118" s="4" t="s">
        <v>545</v>
      </c>
      <c r="I118" s="4" t="s">
        <v>546</v>
      </c>
      <c r="J118" s="23" t="s">
        <v>65</v>
      </c>
      <c r="K118" s="23" t="str">
        <f t="shared" si="3"/>
        <v>DF_KEYFACTS</v>
      </c>
    </row>
    <row r="119" spans="1:12" x14ac:dyDescent="0.35">
      <c r="A119" s="20">
        <v>118</v>
      </c>
      <c r="B119" s="20">
        <v>1</v>
      </c>
      <c r="C119" t="s">
        <v>66</v>
      </c>
      <c r="D119" t="s">
        <v>547</v>
      </c>
      <c r="E119" t="s">
        <v>548</v>
      </c>
      <c r="F119" t="s">
        <v>549</v>
      </c>
      <c r="G119" t="s">
        <v>160</v>
      </c>
      <c r="H119" s="4" t="s">
        <v>550</v>
      </c>
      <c r="I119" s="4" t="s">
        <v>551</v>
      </c>
      <c r="J119" s="23" t="s">
        <v>65</v>
      </c>
      <c r="K119" s="23" t="str">
        <f t="shared" si="3"/>
        <v>DF_SDG_14</v>
      </c>
      <c r="L119" s="23" t="s">
        <v>183</v>
      </c>
    </row>
    <row r="120" spans="1:12" x14ac:dyDescent="0.35">
      <c r="A120" s="20">
        <v>119</v>
      </c>
      <c r="B120" s="20">
        <v>1</v>
      </c>
      <c r="C120" t="s">
        <v>66</v>
      </c>
      <c r="D120" t="s">
        <v>552</v>
      </c>
      <c r="E120" t="s">
        <v>553</v>
      </c>
      <c r="F120" t="s">
        <v>554</v>
      </c>
      <c r="G120" t="s">
        <v>160</v>
      </c>
      <c r="H120" s="4" t="s">
        <v>555</v>
      </c>
      <c r="I120" s="4" t="s">
        <v>556</v>
      </c>
      <c r="J120" s="23" t="s">
        <v>65</v>
      </c>
      <c r="K120" s="23" t="str">
        <f t="shared" si="3"/>
        <v>DF_SDG_14</v>
      </c>
      <c r="L120" s="23" t="s">
        <v>183</v>
      </c>
    </row>
    <row r="121" spans="1:12" x14ac:dyDescent="0.35">
      <c r="A121" s="20">
        <v>120</v>
      </c>
      <c r="B121" s="20">
        <v>1</v>
      </c>
      <c r="C121" t="s">
        <v>66</v>
      </c>
      <c r="D121" t="s">
        <v>557</v>
      </c>
      <c r="E121" t="s">
        <v>558</v>
      </c>
      <c r="F121" t="s">
        <v>559</v>
      </c>
      <c r="G121" t="s">
        <v>160</v>
      </c>
      <c r="H121" s="4" t="s">
        <v>560</v>
      </c>
      <c r="I121" s="4" t="s">
        <v>561</v>
      </c>
      <c r="J121" s="23" t="s">
        <v>65</v>
      </c>
      <c r="K121" s="23" t="str">
        <f t="shared" si="3"/>
        <v>DF_SDG_14</v>
      </c>
      <c r="L121" s="23" t="s">
        <v>183</v>
      </c>
    </row>
    <row r="122" spans="1:12" x14ac:dyDescent="0.35">
      <c r="A122" s="20">
        <v>121</v>
      </c>
      <c r="B122" s="20">
        <v>0</v>
      </c>
      <c r="C122" t="s">
        <v>66</v>
      </c>
      <c r="D122" t="s">
        <v>562</v>
      </c>
      <c r="E122" t="s">
        <v>65</v>
      </c>
      <c r="F122" t="s">
        <v>563</v>
      </c>
      <c r="G122" t="s">
        <v>65</v>
      </c>
      <c r="H122" t="s">
        <v>65</v>
      </c>
      <c r="I122" t="s">
        <v>65</v>
      </c>
      <c r="J122" s="23" t="s">
        <v>65</v>
      </c>
      <c r="K122" s="23" t="str">
        <f t="shared" si="3"/>
        <v>-</v>
      </c>
    </row>
    <row r="123" spans="1:12" x14ac:dyDescent="0.35">
      <c r="A123" s="20">
        <v>122</v>
      </c>
      <c r="B123" s="20">
        <v>0</v>
      </c>
      <c r="C123" t="s">
        <v>66</v>
      </c>
      <c r="D123" t="s">
        <v>564</v>
      </c>
      <c r="E123" t="s">
        <v>65</v>
      </c>
      <c r="F123" t="s">
        <v>565</v>
      </c>
      <c r="G123" t="s">
        <v>65</v>
      </c>
      <c r="H123" t="s">
        <v>65</v>
      </c>
      <c r="I123" t="s">
        <v>65</v>
      </c>
      <c r="J123" s="23" t="s">
        <v>65</v>
      </c>
      <c r="K123" s="23" t="str">
        <f t="shared" si="3"/>
        <v>-</v>
      </c>
    </row>
    <row r="124" spans="1:12" x14ac:dyDescent="0.35">
      <c r="A124" s="20">
        <v>123</v>
      </c>
      <c r="B124" s="20">
        <v>0</v>
      </c>
      <c r="C124" t="s">
        <v>66</v>
      </c>
      <c r="D124" t="s">
        <v>566</v>
      </c>
      <c r="E124" t="s">
        <v>65</v>
      </c>
      <c r="F124" t="s">
        <v>567</v>
      </c>
      <c r="G124" t="s">
        <v>65</v>
      </c>
      <c r="H124" t="s">
        <v>65</v>
      </c>
      <c r="I124" t="s">
        <v>65</v>
      </c>
      <c r="J124" s="23" t="s">
        <v>65</v>
      </c>
      <c r="K124" s="23" t="str">
        <f t="shared" si="3"/>
        <v>-</v>
      </c>
    </row>
    <row r="125" spans="1:12" x14ac:dyDescent="0.35">
      <c r="A125" s="20">
        <v>124</v>
      </c>
      <c r="B125" s="20">
        <v>1</v>
      </c>
      <c r="C125" t="s">
        <v>66</v>
      </c>
      <c r="D125" t="s">
        <v>568</v>
      </c>
      <c r="E125" t="s">
        <v>569</v>
      </c>
      <c r="F125" t="s">
        <v>570</v>
      </c>
      <c r="G125" t="s">
        <v>160</v>
      </c>
      <c r="H125" s="4" t="s">
        <v>571</v>
      </c>
      <c r="I125" s="4" t="s">
        <v>572</v>
      </c>
      <c r="K125" s="23" t="str">
        <f t="shared" si="3"/>
        <v>DF_TRADE_FOOD</v>
      </c>
      <c r="L125" s="23" t="s">
        <v>116</v>
      </c>
    </row>
    <row r="126" spans="1:12" x14ac:dyDescent="0.35">
      <c r="A126" s="20">
        <v>125</v>
      </c>
      <c r="B126" s="20">
        <v>1</v>
      </c>
      <c r="C126" t="s">
        <v>66</v>
      </c>
      <c r="D126" t="s">
        <v>573</v>
      </c>
      <c r="E126" t="s">
        <v>574</v>
      </c>
      <c r="F126" t="s">
        <v>570</v>
      </c>
      <c r="G126" t="s">
        <v>160</v>
      </c>
      <c r="H126" s="4" t="s">
        <v>575</v>
      </c>
      <c r="I126" s="4" t="s">
        <v>576</v>
      </c>
      <c r="J126" s="23" t="s">
        <v>65</v>
      </c>
      <c r="K126" s="23" t="str">
        <f t="shared" si="3"/>
        <v>DF_TRADE_FOOD</v>
      </c>
      <c r="L126" s="23" t="s">
        <v>116</v>
      </c>
    </row>
    <row r="127" spans="1:12" x14ac:dyDescent="0.35">
      <c r="A127" s="20">
        <v>126</v>
      </c>
      <c r="B127" s="20">
        <v>1</v>
      </c>
      <c r="C127" s="3" t="s">
        <v>62</v>
      </c>
      <c r="D127" s="3" t="s">
        <v>577</v>
      </c>
      <c r="E127" s="3" t="s">
        <v>578</v>
      </c>
      <c r="F127" s="3"/>
      <c r="G127" s="3" t="s">
        <v>65</v>
      </c>
      <c r="H127" s="3"/>
      <c r="I127" s="3" t="s">
        <v>65</v>
      </c>
      <c r="J127" s="25" t="s">
        <v>65</v>
      </c>
      <c r="K127" s="23" t="str">
        <f t="shared" si="3"/>
        <v>-</v>
      </c>
    </row>
    <row r="128" spans="1:12" x14ac:dyDescent="0.35">
      <c r="A128" s="20">
        <v>127</v>
      </c>
      <c r="B128" s="20">
        <v>1</v>
      </c>
      <c r="C128" t="s">
        <v>66</v>
      </c>
      <c r="D128" t="s">
        <v>579</v>
      </c>
      <c r="E128" t="s">
        <v>580</v>
      </c>
      <c r="F128" t="s">
        <v>580</v>
      </c>
      <c r="G128" t="s">
        <v>160</v>
      </c>
      <c r="H128" s="4" t="s">
        <v>581</v>
      </c>
      <c r="I128" s="4" t="s">
        <v>582</v>
      </c>
      <c r="J128" s="23" t="s">
        <v>65</v>
      </c>
      <c r="K128" s="23" t="str">
        <f t="shared" si="3"/>
        <v>DF_WBWGI</v>
      </c>
    </row>
    <row r="129" spans="1:12" x14ac:dyDescent="0.35">
      <c r="A129" s="20">
        <v>128</v>
      </c>
      <c r="B129" s="20">
        <v>1</v>
      </c>
      <c r="C129" t="s">
        <v>66</v>
      </c>
      <c r="D129" t="s">
        <v>583</v>
      </c>
      <c r="E129" t="s">
        <v>584</v>
      </c>
      <c r="F129" t="s">
        <v>584</v>
      </c>
      <c r="G129" t="s">
        <v>160</v>
      </c>
      <c r="H129" s="4" t="s">
        <v>585</v>
      </c>
      <c r="I129" s="4" t="s">
        <v>586</v>
      </c>
      <c r="J129" s="23" t="s">
        <v>65</v>
      </c>
      <c r="K129" s="23" t="str">
        <f t="shared" si="3"/>
        <v>DF_WBWGI</v>
      </c>
    </row>
    <row r="130" spans="1:12" x14ac:dyDescent="0.35">
      <c r="A130" s="20">
        <v>129</v>
      </c>
      <c r="B130" s="20">
        <v>1</v>
      </c>
      <c r="C130" t="s">
        <v>66</v>
      </c>
      <c r="D130" t="s">
        <v>587</v>
      </c>
      <c r="E130" t="s">
        <v>588</v>
      </c>
      <c r="F130" t="s">
        <v>588</v>
      </c>
      <c r="G130" t="s">
        <v>160</v>
      </c>
      <c r="H130" s="4" t="s">
        <v>589</v>
      </c>
      <c r="I130" s="4" t="s">
        <v>590</v>
      </c>
      <c r="J130" s="23" t="s">
        <v>65</v>
      </c>
      <c r="K130" s="23" t="str">
        <f t="shared" si="3"/>
        <v>DF_WBWGI</v>
      </c>
    </row>
    <row r="131" spans="1:12" x14ac:dyDescent="0.35">
      <c r="A131" s="20">
        <v>130</v>
      </c>
      <c r="B131" s="20">
        <v>1</v>
      </c>
      <c r="C131" t="s">
        <v>66</v>
      </c>
      <c r="D131" t="s">
        <v>591</v>
      </c>
      <c r="E131" t="s">
        <v>592</v>
      </c>
      <c r="F131" t="s">
        <v>592</v>
      </c>
      <c r="G131" t="s">
        <v>160</v>
      </c>
      <c r="H131" s="4" t="s">
        <v>593</v>
      </c>
      <c r="I131" s="4" t="s">
        <v>594</v>
      </c>
      <c r="J131" s="23" t="s">
        <v>65</v>
      </c>
      <c r="K131" s="23" t="str">
        <f t="shared" si="3"/>
        <v>DF_WBWGI</v>
      </c>
    </row>
    <row r="132" spans="1:12" x14ac:dyDescent="0.35">
      <c r="A132" s="20">
        <v>131</v>
      </c>
      <c r="B132" s="20">
        <v>1</v>
      </c>
      <c r="C132" t="s">
        <v>66</v>
      </c>
      <c r="D132" t="s">
        <v>595</v>
      </c>
      <c r="E132" t="s">
        <v>596</v>
      </c>
      <c r="F132" t="s">
        <v>596</v>
      </c>
      <c r="G132" t="s">
        <v>160</v>
      </c>
      <c r="H132" s="4" t="s">
        <v>597</v>
      </c>
      <c r="I132" s="4" t="s">
        <v>598</v>
      </c>
      <c r="J132" s="23" t="s">
        <v>65</v>
      </c>
      <c r="K132" s="23" t="str">
        <f t="shared" si="3"/>
        <v>DF_WBWGI</v>
      </c>
    </row>
    <row r="133" spans="1:12" x14ac:dyDescent="0.35">
      <c r="A133" s="20">
        <v>132</v>
      </c>
      <c r="B133" s="20">
        <v>1</v>
      </c>
      <c r="C133" t="s">
        <v>66</v>
      </c>
      <c r="D133" t="s">
        <v>599</v>
      </c>
      <c r="E133" t="s">
        <v>600</v>
      </c>
      <c r="F133" t="s">
        <v>600</v>
      </c>
      <c r="G133" t="s">
        <v>160</v>
      </c>
      <c r="H133" s="4" t="s">
        <v>601</v>
      </c>
      <c r="I133" s="4" t="s">
        <v>602</v>
      </c>
      <c r="J133" s="23" t="s">
        <v>65</v>
      </c>
      <c r="K133" s="23" t="str">
        <f t="shared" si="3"/>
        <v>DF_WBWGI</v>
      </c>
    </row>
    <row r="134" spans="1:12" x14ac:dyDescent="0.35">
      <c r="A134" s="20">
        <v>133</v>
      </c>
      <c r="B134" s="20">
        <v>1</v>
      </c>
      <c r="C134" t="s">
        <v>66</v>
      </c>
      <c r="D134" t="s">
        <v>603</v>
      </c>
      <c r="E134" t="s">
        <v>604</v>
      </c>
      <c r="F134" t="s">
        <v>605</v>
      </c>
      <c r="G134" t="s">
        <v>160</v>
      </c>
      <c r="H134" s="4" t="s">
        <v>606</v>
      </c>
      <c r="I134" s="4" t="s">
        <v>607</v>
      </c>
      <c r="J134" s="23" t="s">
        <v>65</v>
      </c>
      <c r="K134" s="23" t="str">
        <f t="shared" si="3"/>
        <v>DF_PRISON</v>
      </c>
    </row>
    <row r="135" spans="1:12" x14ac:dyDescent="0.35">
      <c r="A135" s="20">
        <v>134</v>
      </c>
      <c r="B135" s="20">
        <v>1</v>
      </c>
      <c r="C135" t="s">
        <v>66</v>
      </c>
      <c r="D135" t="s">
        <v>608</v>
      </c>
      <c r="E135" t="s">
        <v>609</v>
      </c>
      <c r="F135" t="s">
        <v>610</v>
      </c>
      <c r="G135" t="s">
        <v>160</v>
      </c>
      <c r="H135" s="4" t="s">
        <v>611</v>
      </c>
      <c r="I135" s="4" t="s">
        <v>612</v>
      </c>
      <c r="J135" s="23" t="s">
        <v>65</v>
      </c>
      <c r="K135" s="23" t="str">
        <f t="shared" si="3"/>
        <v>DF_SDG_16</v>
      </c>
      <c r="L135" s="23" t="s">
        <v>252</v>
      </c>
    </row>
    <row r="136" spans="1:12" x14ac:dyDescent="0.35">
      <c r="A136" s="20">
        <v>135</v>
      </c>
      <c r="B136" s="20">
        <v>1</v>
      </c>
      <c r="C136" t="s">
        <v>66</v>
      </c>
      <c r="D136" t="s">
        <v>613</v>
      </c>
      <c r="E136" t="s">
        <v>614</v>
      </c>
      <c r="F136" t="s">
        <v>610</v>
      </c>
      <c r="G136" t="s">
        <v>160</v>
      </c>
      <c r="H136" s="4" t="s">
        <v>615</v>
      </c>
      <c r="I136" s="4" t="s">
        <v>616</v>
      </c>
      <c r="J136" s="23" t="s">
        <v>65</v>
      </c>
      <c r="K136" s="23" t="str">
        <f t="shared" si="3"/>
        <v>DF_SDG_16</v>
      </c>
      <c r="L136" s="23" t="s">
        <v>252</v>
      </c>
    </row>
    <row r="137" spans="1:12" x14ac:dyDescent="0.35">
      <c r="A137" s="20">
        <v>136</v>
      </c>
      <c r="B137" s="20">
        <v>1</v>
      </c>
      <c r="C137" t="s">
        <v>66</v>
      </c>
      <c r="D137" t="s">
        <v>617</v>
      </c>
      <c r="E137" t="s">
        <v>618</v>
      </c>
      <c r="F137" t="s">
        <v>619</v>
      </c>
      <c r="G137" t="s">
        <v>160</v>
      </c>
      <c r="H137" s="4" t="s">
        <v>620</v>
      </c>
      <c r="I137" s="4" t="s">
        <v>621</v>
      </c>
      <c r="J137" s="23" t="s">
        <v>65</v>
      </c>
      <c r="K137" s="23" t="str">
        <f t="shared" si="3"/>
        <v>DF_SDG_16</v>
      </c>
      <c r="L137" s="23" t="s">
        <v>252</v>
      </c>
    </row>
    <row r="138" spans="1:12" x14ac:dyDescent="0.35">
      <c r="A138" s="20">
        <v>137</v>
      </c>
      <c r="B138" s="20">
        <v>0</v>
      </c>
      <c r="C138" t="s">
        <v>66</v>
      </c>
      <c r="D138" t="s">
        <v>622</v>
      </c>
      <c r="E138" t="s">
        <v>65</v>
      </c>
      <c r="F138" t="s">
        <v>623</v>
      </c>
      <c r="G138" t="s">
        <v>65</v>
      </c>
      <c r="H138" t="s">
        <v>65</v>
      </c>
      <c r="I138" t="s">
        <v>65</v>
      </c>
      <c r="J138" s="23" t="s">
        <v>65</v>
      </c>
      <c r="K138" s="23" t="str">
        <f t="shared" si="3"/>
        <v>-</v>
      </c>
    </row>
    <row r="139" spans="1:12" x14ac:dyDescent="0.35">
      <c r="A139" s="20">
        <v>138</v>
      </c>
      <c r="B139" s="20">
        <v>0</v>
      </c>
      <c r="C139" t="s">
        <v>66</v>
      </c>
      <c r="D139" t="s">
        <v>624</v>
      </c>
      <c r="E139" t="s">
        <v>65</v>
      </c>
      <c r="F139" t="s">
        <v>625</v>
      </c>
      <c r="G139" t="s">
        <v>65</v>
      </c>
      <c r="H139" t="s">
        <v>65</v>
      </c>
      <c r="I139" t="s">
        <v>65</v>
      </c>
      <c r="J139" s="23" t="s">
        <v>65</v>
      </c>
      <c r="K139" s="23" t="str">
        <f t="shared" si="3"/>
        <v>-</v>
      </c>
    </row>
    <row r="140" spans="1:12" x14ac:dyDescent="0.35">
      <c r="A140" s="20">
        <v>139</v>
      </c>
      <c r="B140" s="20">
        <v>1</v>
      </c>
      <c r="C140" s="3" t="s">
        <v>62</v>
      </c>
      <c r="D140" s="3" t="s">
        <v>626</v>
      </c>
      <c r="E140" s="3" t="s">
        <v>627</v>
      </c>
      <c r="F140" s="3"/>
      <c r="G140" s="3" t="s">
        <v>65</v>
      </c>
      <c r="H140" s="3"/>
      <c r="I140" s="3" t="s">
        <v>65</v>
      </c>
      <c r="J140" s="25" t="s">
        <v>65</v>
      </c>
      <c r="K140" s="23" t="str">
        <f t="shared" si="3"/>
        <v>-</v>
      </c>
    </row>
    <row r="141" spans="1:12" x14ac:dyDescent="0.35">
      <c r="A141" s="20">
        <v>140</v>
      </c>
      <c r="B141" s="20">
        <v>1</v>
      </c>
      <c r="C141" t="s">
        <v>66</v>
      </c>
      <c r="D141" t="s">
        <v>628</v>
      </c>
      <c r="E141" t="s">
        <v>629</v>
      </c>
      <c r="F141" t="s">
        <v>630</v>
      </c>
      <c r="G141" t="s">
        <v>160</v>
      </c>
      <c r="H141" s="4" t="s">
        <v>631</v>
      </c>
      <c r="I141" s="4" t="s">
        <v>632</v>
      </c>
      <c r="J141" s="23" t="s">
        <v>65</v>
      </c>
      <c r="K141" s="23" t="str">
        <f t="shared" si="3"/>
        <v>DF_SDG_16</v>
      </c>
      <c r="L141" s="23" t="s">
        <v>183</v>
      </c>
    </row>
    <row r="142" spans="1:12" x14ac:dyDescent="0.35">
      <c r="A142" s="20">
        <v>141</v>
      </c>
      <c r="B142" s="20">
        <v>1</v>
      </c>
      <c r="C142" t="s">
        <v>66</v>
      </c>
      <c r="D142" t="s">
        <v>633</v>
      </c>
      <c r="E142" t="s">
        <v>634</v>
      </c>
      <c r="F142" t="s">
        <v>635</v>
      </c>
      <c r="G142" t="s">
        <v>160</v>
      </c>
      <c r="H142" s="4" t="s">
        <v>636</v>
      </c>
      <c r="I142" s="4" t="s">
        <v>637</v>
      </c>
      <c r="J142" s="23" t="s">
        <v>65</v>
      </c>
      <c r="K142" s="23" t="str">
        <f t="shared" si="3"/>
        <v>DF_SDG_16</v>
      </c>
      <c r="L142" s="23" t="s">
        <v>252</v>
      </c>
    </row>
    <row r="143" spans="1:12" x14ac:dyDescent="0.35">
      <c r="A143" s="20">
        <v>142</v>
      </c>
      <c r="B143" s="20">
        <v>0</v>
      </c>
      <c r="C143" t="s">
        <v>66</v>
      </c>
      <c r="D143" t="s">
        <v>638</v>
      </c>
      <c r="E143" t="s">
        <v>65</v>
      </c>
      <c r="F143" t="s">
        <v>639</v>
      </c>
      <c r="G143" t="s">
        <v>65</v>
      </c>
      <c r="H143" t="s">
        <v>65</v>
      </c>
      <c r="I143" t="s">
        <v>65</v>
      </c>
      <c r="J143" s="23" t="s">
        <v>65</v>
      </c>
      <c r="K143" s="23" t="str">
        <f t="shared" si="3"/>
        <v>-</v>
      </c>
    </row>
    <row r="144" spans="1:12" x14ac:dyDescent="0.35">
      <c r="A144" s="20">
        <v>143</v>
      </c>
      <c r="B144" s="20">
        <v>1</v>
      </c>
      <c r="C144" s="3" t="s">
        <v>62</v>
      </c>
      <c r="D144" s="3" t="s">
        <v>640</v>
      </c>
      <c r="E144" s="3" t="s">
        <v>641</v>
      </c>
      <c r="F144" s="3"/>
      <c r="G144" s="3" t="s">
        <v>65</v>
      </c>
      <c r="H144" s="3"/>
      <c r="I144" s="3" t="s">
        <v>65</v>
      </c>
      <c r="J144" s="25" t="s">
        <v>65</v>
      </c>
      <c r="K144" s="23" t="str">
        <f t="shared" si="3"/>
        <v>-</v>
      </c>
    </row>
    <row r="145" spans="1:12" x14ac:dyDescent="0.35">
      <c r="A145" s="20">
        <v>144</v>
      </c>
      <c r="B145" s="20">
        <v>1</v>
      </c>
      <c r="C145" t="s">
        <v>66</v>
      </c>
      <c r="D145" t="s">
        <v>642</v>
      </c>
      <c r="E145" t="s">
        <v>643</v>
      </c>
      <c r="F145" t="s">
        <v>644</v>
      </c>
      <c r="G145" t="s">
        <v>160</v>
      </c>
      <c r="H145" s="5" t="s">
        <v>645</v>
      </c>
      <c r="I145" s="5" t="s">
        <v>646</v>
      </c>
      <c r="J145" s="23" t="s">
        <v>65</v>
      </c>
      <c r="K145" s="23" t="str">
        <f t="shared" si="3"/>
        <v>DF_VITAL</v>
      </c>
    </row>
    <row r="146" spans="1:12" x14ac:dyDescent="0.35">
      <c r="A146" s="20">
        <v>145</v>
      </c>
      <c r="B146" s="20">
        <v>1</v>
      </c>
      <c r="C146" t="s">
        <v>66</v>
      </c>
      <c r="D146" t="s">
        <v>647</v>
      </c>
      <c r="E146" t="s">
        <v>648</v>
      </c>
      <c r="F146" t="s">
        <v>649</v>
      </c>
      <c r="G146" t="s">
        <v>160</v>
      </c>
      <c r="H146" s="5" t="s">
        <v>650</v>
      </c>
      <c r="I146" s="5" t="s">
        <v>651</v>
      </c>
      <c r="J146" s="23" t="s">
        <v>65</v>
      </c>
      <c r="K146" s="23" t="str">
        <f t="shared" si="3"/>
        <v>DF_SDG_05</v>
      </c>
      <c r="L146" s="23" t="s">
        <v>183</v>
      </c>
    </row>
    <row r="147" spans="1:12" x14ac:dyDescent="0.35">
      <c r="A147" s="20">
        <v>146</v>
      </c>
      <c r="B147" s="20">
        <v>1</v>
      </c>
      <c r="C147" t="s">
        <v>66</v>
      </c>
      <c r="D147" t="s">
        <v>652</v>
      </c>
      <c r="E147" t="s">
        <v>653</v>
      </c>
      <c r="F147" t="s">
        <v>654</v>
      </c>
      <c r="G147" t="s">
        <v>160</v>
      </c>
      <c r="H147" s="5" t="s">
        <v>655</v>
      </c>
      <c r="I147" s="5" t="s">
        <v>656</v>
      </c>
      <c r="J147" s="23" t="s">
        <v>65</v>
      </c>
      <c r="K147" s="23" t="str">
        <f t="shared" si="3"/>
        <v>DF_WBWDI</v>
      </c>
    </row>
    <row r="148" spans="1:12" x14ac:dyDescent="0.35">
      <c r="A148" s="20">
        <v>147</v>
      </c>
      <c r="B148" s="20">
        <v>1</v>
      </c>
      <c r="C148" t="s">
        <v>66</v>
      </c>
      <c r="D148" t="s">
        <v>657</v>
      </c>
      <c r="E148" t="s">
        <v>658</v>
      </c>
      <c r="F148" t="s">
        <v>659</v>
      </c>
      <c r="G148" t="s">
        <v>160</v>
      </c>
      <c r="H148" s="5" t="s">
        <v>660</v>
      </c>
      <c r="I148" s="5" t="s">
        <v>661</v>
      </c>
      <c r="J148" s="23" t="s">
        <v>65</v>
      </c>
      <c r="K148" s="23" t="str">
        <f t="shared" si="3"/>
        <v>DF_SDG_05</v>
      </c>
      <c r="L148" s="23" t="s">
        <v>183</v>
      </c>
    </row>
    <row r="149" spans="1:12" x14ac:dyDescent="0.35">
      <c r="A149" s="20">
        <v>148</v>
      </c>
      <c r="B149" s="20">
        <v>1</v>
      </c>
      <c r="C149" t="s">
        <v>66</v>
      </c>
      <c r="D149" t="s">
        <v>662</v>
      </c>
      <c r="E149" t="s">
        <v>663</v>
      </c>
      <c r="F149" t="s">
        <v>664</v>
      </c>
      <c r="G149" t="s">
        <v>160</v>
      </c>
      <c r="H149" s="5" t="s">
        <v>665</v>
      </c>
      <c r="I149" s="5" t="s">
        <v>666</v>
      </c>
      <c r="J149" s="23" t="s">
        <v>65</v>
      </c>
      <c r="K149" s="23" t="str">
        <f t="shared" si="3"/>
        <v>DF_SDG_05</v>
      </c>
      <c r="L149" s="23" t="s">
        <v>183</v>
      </c>
    </row>
    <row r="150" spans="1:12" x14ac:dyDescent="0.35">
      <c r="A150" s="20">
        <v>149</v>
      </c>
      <c r="B150" s="20">
        <v>1</v>
      </c>
      <c r="C150" t="s">
        <v>66</v>
      </c>
      <c r="D150" t="s">
        <v>667</v>
      </c>
      <c r="E150" t="s">
        <v>668</v>
      </c>
      <c r="F150" t="s">
        <v>669</v>
      </c>
      <c r="G150" t="s">
        <v>160</v>
      </c>
      <c r="H150" s="5" t="s">
        <v>670</v>
      </c>
      <c r="I150" s="5" t="s">
        <v>671</v>
      </c>
      <c r="J150" s="23" t="s">
        <v>65</v>
      </c>
      <c r="K150" s="23" t="str">
        <f t="shared" ref="K150:K165" si="4">IF(I150="-", "-", LEFT(RIGHT(I150, LEN(I150)-FIND("SPC,", I150)-3), FIND(",", RIGHT(I150, LEN(I150)-FIND("SPC,", I150)-3))-1))</f>
        <v>DF_SDG_05</v>
      </c>
      <c r="L150" s="23" t="s">
        <v>183</v>
      </c>
    </row>
    <row r="151" spans="1:12" x14ac:dyDescent="0.35">
      <c r="A151" s="20">
        <v>150</v>
      </c>
      <c r="B151" s="20">
        <v>1</v>
      </c>
      <c r="C151" t="s">
        <v>66</v>
      </c>
      <c r="D151" t="s">
        <v>672</v>
      </c>
      <c r="E151" s="6" t="s">
        <v>673</v>
      </c>
      <c r="F151" t="s">
        <v>674</v>
      </c>
      <c r="G151" t="s">
        <v>160</v>
      </c>
      <c r="H151" s="21" t="s">
        <v>675</v>
      </c>
      <c r="I151" s="21" t="s">
        <v>676</v>
      </c>
      <c r="J151" s="24" t="s">
        <v>65</v>
      </c>
      <c r="K151" s="24" t="str">
        <f t="shared" si="4"/>
        <v>DF_EMPRATES</v>
      </c>
      <c r="L151" s="23" t="s">
        <v>677</v>
      </c>
    </row>
    <row r="152" spans="1:12" x14ac:dyDescent="0.35">
      <c r="A152" s="20">
        <v>151</v>
      </c>
      <c r="B152" s="20">
        <v>1</v>
      </c>
      <c r="C152" t="s">
        <v>66</v>
      </c>
      <c r="D152" t="s">
        <v>678</v>
      </c>
      <c r="E152" s="6" t="s">
        <v>679</v>
      </c>
      <c r="F152" t="s">
        <v>674</v>
      </c>
      <c r="G152" t="s">
        <v>160</v>
      </c>
      <c r="H152" s="21" t="s">
        <v>680</v>
      </c>
      <c r="I152" s="21" t="s">
        <v>681</v>
      </c>
      <c r="J152" s="24" t="s">
        <v>65</v>
      </c>
      <c r="K152" s="24" t="str">
        <f t="shared" si="4"/>
        <v>DF_EMPRATES</v>
      </c>
      <c r="L152" s="23" t="s">
        <v>677</v>
      </c>
    </row>
    <row r="153" spans="1:12" x14ac:dyDescent="0.35">
      <c r="A153" s="20">
        <v>152</v>
      </c>
      <c r="B153" s="20">
        <v>0</v>
      </c>
      <c r="C153" t="s">
        <v>66</v>
      </c>
      <c r="D153" t="s">
        <v>682</v>
      </c>
      <c r="E153" t="s">
        <v>65</v>
      </c>
      <c r="F153" t="s">
        <v>683</v>
      </c>
      <c r="G153" t="s">
        <v>65</v>
      </c>
      <c r="H153" t="s">
        <v>65</v>
      </c>
      <c r="I153" t="s">
        <v>65</v>
      </c>
      <c r="J153" s="23" t="s">
        <v>65</v>
      </c>
      <c r="K153" s="23" t="str">
        <f t="shared" si="4"/>
        <v>-</v>
      </c>
    </row>
    <row r="154" spans="1:12" x14ac:dyDescent="0.35">
      <c r="A154" s="20">
        <v>153</v>
      </c>
      <c r="B154" s="20">
        <v>0</v>
      </c>
      <c r="C154" t="s">
        <v>66</v>
      </c>
      <c r="D154" t="s">
        <v>684</v>
      </c>
      <c r="E154" t="s">
        <v>65</v>
      </c>
      <c r="F154" t="s">
        <v>685</v>
      </c>
      <c r="G154" t="s">
        <v>65</v>
      </c>
      <c r="H154" t="s">
        <v>65</v>
      </c>
      <c r="I154" t="s">
        <v>65</v>
      </c>
      <c r="J154" s="23" t="s">
        <v>65</v>
      </c>
      <c r="K154" s="23" t="str">
        <f t="shared" si="4"/>
        <v>-</v>
      </c>
    </row>
    <row r="155" spans="1:12" x14ac:dyDescent="0.35">
      <c r="A155" s="20">
        <v>154</v>
      </c>
      <c r="B155" s="20">
        <v>0</v>
      </c>
      <c r="C155" t="s">
        <v>66</v>
      </c>
      <c r="D155" t="s">
        <v>686</v>
      </c>
      <c r="E155" t="s">
        <v>65</v>
      </c>
      <c r="F155" t="s">
        <v>687</v>
      </c>
      <c r="G155" t="s">
        <v>65</v>
      </c>
      <c r="H155" t="s">
        <v>65</v>
      </c>
      <c r="I155" t="s">
        <v>65</v>
      </c>
      <c r="J155" s="23" t="s">
        <v>65</v>
      </c>
      <c r="K155" s="23" t="str">
        <f t="shared" si="4"/>
        <v>-</v>
      </c>
    </row>
    <row r="156" spans="1:12" x14ac:dyDescent="0.35">
      <c r="A156" s="20">
        <v>155</v>
      </c>
      <c r="B156" s="20">
        <v>0</v>
      </c>
      <c r="C156" t="s">
        <v>66</v>
      </c>
      <c r="D156" t="s">
        <v>688</v>
      </c>
      <c r="E156" t="s">
        <v>65</v>
      </c>
      <c r="F156" t="s">
        <v>689</v>
      </c>
      <c r="G156" t="s">
        <v>65</v>
      </c>
      <c r="H156" t="s">
        <v>65</v>
      </c>
      <c r="I156" t="s">
        <v>65</v>
      </c>
      <c r="J156" s="23" t="s">
        <v>65</v>
      </c>
      <c r="K156" s="23" t="str">
        <f t="shared" si="4"/>
        <v>-</v>
      </c>
    </row>
    <row r="157" spans="1:12" x14ac:dyDescent="0.35">
      <c r="A157" s="20">
        <v>156</v>
      </c>
      <c r="B157" s="20">
        <v>0</v>
      </c>
      <c r="C157" t="s">
        <v>66</v>
      </c>
      <c r="D157" t="s">
        <v>690</v>
      </c>
      <c r="E157" t="s">
        <v>65</v>
      </c>
      <c r="F157" t="s">
        <v>691</v>
      </c>
      <c r="G157" t="s">
        <v>65</v>
      </c>
      <c r="H157" t="s">
        <v>65</v>
      </c>
      <c r="I157" t="s">
        <v>65</v>
      </c>
      <c r="J157" s="23" t="s">
        <v>65</v>
      </c>
      <c r="K157" s="23" t="str">
        <f t="shared" si="4"/>
        <v>-</v>
      </c>
    </row>
    <row r="158" spans="1:12" x14ac:dyDescent="0.35">
      <c r="A158" s="20">
        <v>157</v>
      </c>
      <c r="B158" s="20">
        <v>0</v>
      </c>
      <c r="C158" t="s">
        <v>66</v>
      </c>
      <c r="D158" t="s">
        <v>692</v>
      </c>
      <c r="E158" t="s">
        <v>65</v>
      </c>
      <c r="F158" t="s">
        <v>693</v>
      </c>
      <c r="G158" t="s">
        <v>65</v>
      </c>
      <c r="H158" t="s">
        <v>65</v>
      </c>
      <c r="I158" t="s">
        <v>65</v>
      </c>
      <c r="J158" s="23" t="s">
        <v>65</v>
      </c>
      <c r="K158" s="23" t="str">
        <f t="shared" si="4"/>
        <v>-</v>
      </c>
    </row>
    <row r="159" spans="1:12" x14ac:dyDescent="0.35">
      <c r="A159" s="20">
        <v>158</v>
      </c>
      <c r="B159" s="20">
        <v>1</v>
      </c>
      <c r="C159" s="3" t="s">
        <v>62</v>
      </c>
      <c r="D159" s="3" t="s">
        <v>694</v>
      </c>
      <c r="E159" s="3" t="s">
        <v>695</v>
      </c>
      <c r="F159" s="3"/>
      <c r="G159" s="3" t="s">
        <v>65</v>
      </c>
      <c r="H159" s="3"/>
      <c r="I159" s="3" t="s">
        <v>65</v>
      </c>
      <c r="J159" s="25" t="s">
        <v>65</v>
      </c>
      <c r="K159" s="23" t="str">
        <f t="shared" si="4"/>
        <v>-</v>
      </c>
    </row>
    <row r="160" spans="1:12" x14ac:dyDescent="0.35">
      <c r="A160" s="20">
        <v>159</v>
      </c>
      <c r="B160" s="20">
        <v>1</v>
      </c>
      <c r="C160" t="s">
        <v>66</v>
      </c>
      <c r="D160" t="s">
        <v>696</v>
      </c>
      <c r="E160" t="s">
        <v>697</v>
      </c>
      <c r="F160" t="s">
        <v>698</v>
      </c>
      <c r="G160" t="s">
        <v>160</v>
      </c>
      <c r="H160" s="4" t="s">
        <v>699</v>
      </c>
      <c r="I160" s="4" t="s">
        <v>700</v>
      </c>
      <c r="J160" s="23" t="s">
        <v>65</v>
      </c>
      <c r="K160" s="23" t="str">
        <f t="shared" si="4"/>
        <v>DF_SDG_10</v>
      </c>
      <c r="L160" s="23" t="s">
        <v>183</v>
      </c>
    </row>
    <row r="161" spans="1:12" x14ac:dyDescent="0.35">
      <c r="A161" s="20">
        <v>160</v>
      </c>
      <c r="B161" s="20">
        <v>1</v>
      </c>
      <c r="C161" t="s">
        <v>66</v>
      </c>
      <c r="D161" t="s">
        <v>701</v>
      </c>
      <c r="E161" t="s">
        <v>702</v>
      </c>
      <c r="F161" t="s">
        <v>703</v>
      </c>
      <c r="G161" t="s">
        <v>160</v>
      </c>
      <c r="H161" s="4" t="s">
        <v>704</v>
      </c>
      <c r="I161" s="5" t="s">
        <v>705</v>
      </c>
      <c r="J161" s="23" t="s">
        <v>65</v>
      </c>
      <c r="K161" s="23" t="str">
        <f t="shared" si="4"/>
        <v>DF_SDG_17</v>
      </c>
      <c r="L161" s="23" t="s">
        <v>183</v>
      </c>
    </row>
    <row r="162" spans="1:12" x14ac:dyDescent="0.35">
      <c r="A162" s="20">
        <v>161</v>
      </c>
      <c r="B162" s="20">
        <v>0</v>
      </c>
      <c r="C162" t="s">
        <v>66</v>
      </c>
      <c r="D162" t="s">
        <v>706</v>
      </c>
      <c r="E162" t="s">
        <v>65</v>
      </c>
      <c r="F162" t="s">
        <v>707</v>
      </c>
      <c r="G162" t="s">
        <v>65</v>
      </c>
      <c r="H162" t="s">
        <v>65</v>
      </c>
      <c r="I162" t="s">
        <v>65</v>
      </c>
      <c r="J162" s="23" t="s">
        <v>65</v>
      </c>
      <c r="K162" s="23" t="str">
        <f t="shared" si="4"/>
        <v>-</v>
      </c>
    </row>
    <row r="163" spans="1:12" x14ac:dyDescent="0.35">
      <c r="A163" s="20">
        <v>162</v>
      </c>
      <c r="B163" s="20">
        <v>0</v>
      </c>
      <c r="C163" t="s">
        <v>66</v>
      </c>
      <c r="D163" t="s">
        <v>708</v>
      </c>
      <c r="E163" t="s">
        <v>65</v>
      </c>
      <c r="F163" t="s">
        <v>709</v>
      </c>
      <c r="G163" t="s">
        <v>65</v>
      </c>
      <c r="H163" t="s">
        <v>65</v>
      </c>
      <c r="I163" t="s">
        <v>65</v>
      </c>
      <c r="J163" s="23" t="s">
        <v>65</v>
      </c>
      <c r="K163" s="23" t="str">
        <f t="shared" si="4"/>
        <v>-</v>
      </c>
    </row>
    <row r="164" spans="1:12" x14ac:dyDescent="0.35">
      <c r="A164" s="20">
        <v>163</v>
      </c>
      <c r="B164" s="20">
        <v>1</v>
      </c>
      <c r="C164" t="s">
        <v>66</v>
      </c>
      <c r="D164" t="s">
        <v>710</v>
      </c>
      <c r="E164" t="s">
        <v>711</v>
      </c>
      <c r="F164" t="s">
        <v>712</v>
      </c>
      <c r="G164" t="s">
        <v>160</v>
      </c>
      <c r="H164" s="4" t="s">
        <v>713</v>
      </c>
      <c r="I164" s="4" t="s">
        <v>714</v>
      </c>
      <c r="J164" s="23" t="s">
        <v>65</v>
      </c>
      <c r="K164" s="23" t="str">
        <f t="shared" si="4"/>
        <v>DF_PAM</v>
      </c>
      <c r="L164" s="23" t="s">
        <v>116</v>
      </c>
    </row>
    <row r="165" spans="1:12" x14ac:dyDescent="0.35">
      <c r="A165" s="20">
        <v>164</v>
      </c>
      <c r="B165" s="20">
        <v>1</v>
      </c>
      <c r="C165" t="s">
        <v>66</v>
      </c>
      <c r="D165" t="s">
        <v>715</v>
      </c>
      <c r="E165" t="s">
        <v>716</v>
      </c>
      <c r="F165" t="s">
        <v>712</v>
      </c>
      <c r="G165" t="s">
        <v>160</v>
      </c>
      <c r="H165" s="4" t="s">
        <v>717</v>
      </c>
      <c r="I165" s="4" t="s">
        <v>718</v>
      </c>
      <c r="J165" s="23" t="s">
        <v>65</v>
      </c>
      <c r="K165" s="23" t="str">
        <f t="shared" si="4"/>
        <v>DF_PAM</v>
      </c>
      <c r="L165" s="23" t="s">
        <v>116</v>
      </c>
    </row>
  </sheetData>
  <phoneticPr fontId="2" type="noConversion"/>
  <hyperlinks>
    <hyperlink ref="I7" r:id="rId1" xr:uid="{1202AE88-C310-4511-81B8-CDD92DF7B97D}"/>
    <hyperlink ref="I8" r:id="rId2" xr:uid="{6D69D13D-E54C-49B2-922F-61AA5DA47244}"/>
    <hyperlink ref="I9" r:id="rId3" xr:uid="{A0D71818-62BE-4771-97D0-0ED6ECE1E2A2}"/>
    <hyperlink ref="I10" r:id="rId4" xr:uid="{6A27D725-1EA8-491F-9FAB-5944CF9F439C}"/>
    <hyperlink ref="I12" r:id="rId5" xr:uid="{127AAED5-E781-46C9-8FC1-DE8D8A687D03}"/>
    <hyperlink ref="I11" r:id="rId6" xr:uid="{2811DA5C-813A-4964-A6DE-346F1F3FBB21}"/>
    <hyperlink ref="I18" r:id="rId7" xr:uid="{3CAECA80-2EC9-4C9E-9AE3-86756D89C228}"/>
    <hyperlink ref="I19" r:id="rId8" xr:uid="{B6179E42-0B70-4D31-9A98-00CFAAE703C7}"/>
    <hyperlink ref="I20" r:id="rId9" xr:uid="{0F3D1856-689A-4B25-B7C1-6734B4615F38}"/>
    <hyperlink ref="I31" r:id="rId10" xr:uid="{8CB950D8-5168-4356-B11A-13DEAB797142}"/>
    <hyperlink ref="I32" r:id="rId11" xr:uid="{1C29EB9C-C3BC-45EC-B30D-C92EFAEBFB37}"/>
    <hyperlink ref="I43" r:id="rId12" xr:uid="{1C0C089D-0C99-4140-83EF-0D1FD232B302}"/>
    <hyperlink ref="I41" r:id="rId13" xr:uid="{780F3165-A13D-40EB-A8EF-ABAB45DACAB6}"/>
    <hyperlink ref="I51" r:id="rId14" xr:uid="{B8050AC5-805A-4ABB-9DCC-0D0AA97A22DF}"/>
    <hyperlink ref="I15:I17" r:id="rId15" display="https://stats-nsi-stable.pacificdata.org/rest/data/SPC,DF_POP_DENSITY,1.0/A.[TAG_GEO].LANDAREA?dimensionAtObservation=AllDimensions" xr:uid="{07849ED6-035A-44D7-920E-981BB8FF8645}"/>
    <hyperlink ref="I16" r:id="rId16" xr:uid="{8C792EED-CAEE-4BFB-B1E1-3E2B60431A8A}"/>
    <hyperlink ref="I17" r:id="rId17" xr:uid="{72F25A6E-983E-4F72-AC1B-76093680885A}"/>
    <hyperlink ref="I13" r:id="rId18" xr:uid="{E8BD5198-0906-42CF-BC9D-F99A19B9946F}"/>
    <hyperlink ref="I40" r:id="rId19" xr:uid="{B5165BF2-D2E6-4505-848E-1B13614EF01B}"/>
    <hyperlink ref="I34" r:id="rId20" xr:uid="{497CEE2C-B23B-47D7-BD01-0467E11A108A}"/>
    <hyperlink ref="I48" r:id="rId21" xr:uid="{800EB193-9DFB-4DCA-945E-CDF202ABC318}"/>
    <hyperlink ref="I36" r:id="rId22" xr:uid="{3DC28942-40EC-46AA-97D8-7C2D9DD589C2}"/>
    <hyperlink ref="I27" r:id="rId23" xr:uid="{E80A3C2D-78CB-4AB7-8F34-E8409C8E3197}"/>
    <hyperlink ref="I28" r:id="rId24" xr:uid="{2C72D416-4746-40E8-A23A-9FC1303BC1E8}"/>
    <hyperlink ref="I33" r:id="rId25" xr:uid="{7884F892-E782-42E1-A805-EA8C68B3A6BB}"/>
    <hyperlink ref="I52" r:id="rId26" xr:uid="{A7AF5CF2-8FFC-41DC-8818-444D6FC97B0A}"/>
    <hyperlink ref="I53" r:id="rId27" xr:uid="{0940F743-D192-4B4B-B407-6DCA3563F56D}"/>
    <hyperlink ref="I54" r:id="rId28" xr:uid="{B464FC60-9E01-4161-BE85-3CA17648DB89}"/>
    <hyperlink ref="I77" r:id="rId29" xr:uid="{A23ADC2F-00C7-41D9-AE32-D1A680C388ED}"/>
    <hyperlink ref="I78" r:id="rId30" xr:uid="{37232D65-5198-4CCF-A39E-F64519D3900F}"/>
    <hyperlink ref="I79" r:id="rId31" xr:uid="{7AF81C5E-E2C7-4D9F-9FD9-3E532300067A}"/>
    <hyperlink ref="I80" r:id="rId32" xr:uid="{07D5B55C-83E9-4F57-8CA5-59CD57F54CDC}"/>
    <hyperlink ref="I81" r:id="rId33" xr:uid="{DB0ADA45-81F4-468B-A700-D7237E1D26AA}"/>
    <hyperlink ref="I82" r:id="rId34" xr:uid="{3B97A380-3524-45AF-A37A-2AFE07356133}"/>
    <hyperlink ref="I83" r:id="rId35" xr:uid="{4EAFCAB5-4C72-4CAA-B4FB-BD4688A8DB15}"/>
    <hyperlink ref="I84" r:id="rId36" xr:uid="{2BFBBD79-2D96-4953-B3A4-A0ED93981252}"/>
    <hyperlink ref="I85" r:id="rId37" xr:uid="{ED88E253-9FF1-4858-866D-A58B2751387F}"/>
    <hyperlink ref="I89" r:id="rId38" xr:uid="{E1E0FBA4-D9AD-4D58-8016-5F39E039F0C2}"/>
    <hyperlink ref="I90" r:id="rId39" xr:uid="{3D80D69D-388E-4B3D-A654-2639D73A58E8}"/>
    <hyperlink ref="I91" r:id="rId40" xr:uid="{DA75C952-69D5-4BFF-9C29-8C953E0F98BE}"/>
    <hyperlink ref="I92" r:id="rId41" xr:uid="{64A74FD8-068D-4119-8B0C-629DAEF9F8E5}"/>
    <hyperlink ref="I93" r:id="rId42" xr:uid="{191D2FAC-6734-4D93-9197-FD2346DD23EB}"/>
    <hyperlink ref="I94" r:id="rId43" xr:uid="{94052B95-AED6-40C7-8A64-B5CAECAE6A7B}"/>
    <hyperlink ref="I95" r:id="rId44" xr:uid="{CDC0DFE7-9863-468B-81DD-54E96958B50F}"/>
    <hyperlink ref="I96" r:id="rId45" xr:uid="{CBA446F8-F702-4EC5-8FE2-2AA5D3A7B574}"/>
    <hyperlink ref="I97" r:id="rId46" xr:uid="{C6CE3544-DD39-4C87-9603-4C1EA807BE61}"/>
    <hyperlink ref="I99" r:id="rId47" xr:uid="{F5B6F5E2-AB7A-4E60-9159-094222FA9EC5}"/>
    <hyperlink ref="I100" r:id="rId48" xr:uid="{63292B06-AA4C-41F1-848B-FCA1406B4E1D}"/>
    <hyperlink ref="I101" r:id="rId49" xr:uid="{1928ED26-1C18-4E6F-B058-F8F2314A0989}"/>
    <hyperlink ref="I102" r:id="rId50" xr:uid="{BA444162-A8C5-4D00-A77E-5D26E6B837D8}"/>
    <hyperlink ref="I103" r:id="rId51" xr:uid="{D14B759B-DF6B-4D90-8B01-B4961C239F93}"/>
    <hyperlink ref="I104" r:id="rId52" xr:uid="{60E6447E-55C4-4B73-9260-28C12724A90E}"/>
    <hyperlink ref="I110" r:id="rId53" xr:uid="{E63BA457-8312-43B0-A410-FD8EEDB7C763}"/>
    <hyperlink ref="I111" r:id="rId54" xr:uid="{F42CD3F8-C3B0-4047-AA02-20E2CB33A79A}"/>
    <hyperlink ref="I112" r:id="rId55" xr:uid="{4EC25E4F-73EB-4C8B-BE01-BBFF4349E462}"/>
    <hyperlink ref="I113" r:id="rId56" xr:uid="{23EB23B1-D97E-44B1-A473-1365E1C8F43B}"/>
    <hyperlink ref="I114" r:id="rId57" xr:uid="{399BA61D-9BE2-49E3-9F5C-A25F70E37A21}"/>
    <hyperlink ref="I115" r:id="rId58" xr:uid="{CB50675C-9EC2-4A6D-9881-ED21F0AC0A05}"/>
    <hyperlink ref="I118" r:id="rId59" xr:uid="{74AD88A0-6772-4EBC-BEF4-3237C1F2F8B4}"/>
    <hyperlink ref="I119" r:id="rId60" xr:uid="{5E7FA6A0-8D38-44FA-9E49-DF79559D02A4}"/>
    <hyperlink ref="I121" r:id="rId61" xr:uid="{27220811-3C7F-4DA8-8138-CEC06D43705D}"/>
    <hyperlink ref="I120" r:id="rId62" xr:uid="{B0B69B5E-8EB9-4D49-B915-7FFD8029EA72}"/>
    <hyperlink ref="I128" r:id="rId63" xr:uid="{23D8B9EE-9F27-4FE6-B364-A8075494A0D7}"/>
    <hyperlink ref="I129" r:id="rId64" xr:uid="{65F4A1D0-DF40-46E0-8C87-29D148A42A91}"/>
    <hyperlink ref="I130" r:id="rId65" xr:uid="{EAFF8CCF-C5DF-4420-A6FF-0745F29DF7CE}"/>
    <hyperlink ref="I131" r:id="rId66" xr:uid="{FA246148-0CC9-4092-9632-A6DD003B6C7A}"/>
    <hyperlink ref="I132" r:id="rId67" xr:uid="{17E7EF34-F9FC-47D0-8701-A4AD1019BBC0}"/>
    <hyperlink ref="I133" r:id="rId68" xr:uid="{8E35CDDB-21E3-42B6-98EE-952E3EDFBF2A}"/>
    <hyperlink ref="I134" r:id="rId69" xr:uid="{54932A7E-9FDE-42F7-8C7C-2177FA6FB40F}"/>
    <hyperlink ref="I141" r:id="rId70" xr:uid="{E9E74197-1047-4374-AAF5-D395B2FB1F7F}"/>
    <hyperlink ref="I145" r:id="rId71" xr:uid="{1E017847-A80C-427F-947B-4AE35C511C5E}"/>
    <hyperlink ref="I146" r:id="rId72" xr:uid="{CF1F6B4E-EF54-4CFC-AE07-D595FDC5DC05}"/>
    <hyperlink ref="I147" r:id="rId73" xr:uid="{80D2B01A-C85D-4420-A230-7ACE58942B90}"/>
    <hyperlink ref="I148" r:id="rId74" xr:uid="{5DA07606-8DBF-42DF-99A2-05564E1A3E81}"/>
    <hyperlink ref="I149" r:id="rId75" xr:uid="{18326F49-B562-4F54-89A6-1B24F6BF77B6}"/>
    <hyperlink ref="I150" r:id="rId76" xr:uid="{BEA0ECA5-8E32-418B-8200-9178C3BF4100}"/>
    <hyperlink ref="I160" r:id="rId77" xr:uid="{EEF01ACA-A3CB-48E8-B58D-BEC03369CC4A}"/>
    <hyperlink ref="H7" r:id="rId78" xr:uid="{8B9AF390-751C-4BBF-AC36-5D841F3AA98D}"/>
    <hyperlink ref="H8" r:id="rId79" xr:uid="{77F2D8ED-4222-4ADC-9626-6681D4372CF6}"/>
    <hyperlink ref="H9" r:id="rId80" xr:uid="{1F02FCA0-8EB2-413F-BC20-E0A4C02A6EFE}"/>
    <hyperlink ref="H10" r:id="rId81" xr:uid="{C08F40BB-1B11-4269-900F-1E7F1918385D}"/>
    <hyperlink ref="H11" r:id="rId82" xr:uid="{1DAC9B20-A7AD-4B94-9501-41AB9E7CF504}"/>
    <hyperlink ref="H12" r:id="rId83" xr:uid="{B463DCEE-BA2D-4C8A-AA92-541B9F322A36}"/>
    <hyperlink ref="H13" r:id="rId84" xr:uid="{BD971B83-899B-4010-A864-4F0ED2975D9F}"/>
    <hyperlink ref="H15" r:id="rId85" xr:uid="{FEDEAD2D-DF81-4117-9DC9-6DD1A7B96FA2}"/>
    <hyperlink ref="H16" r:id="rId86" xr:uid="{79CAEFB5-145B-4F0A-9257-0BBFE820FA2A}"/>
    <hyperlink ref="H18" r:id="rId87" xr:uid="{8F49651E-9510-4A02-AC4E-F7F119D8B764}"/>
    <hyperlink ref="H19" r:id="rId88" xr:uid="{8CF2CF79-7ECC-4168-926C-8AB88A47F86E}"/>
    <hyperlink ref="H20" r:id="rId89" xr:uid="{A820F824-D886-4D8B-A069-502FA4582AC7}"/>
    <hyperlink ref="H43" r:id="rId90" xr:uid="{5057E2CF-6180-4C47-AB44-6D1A46341465}"/>
    <hyperlink ref="H32" r:id="rId91" xr:uid="{86683F92-CA0D-4670-A9E9-2DBA6CFD5549}"/>
    <hyperlink ref="H31" r:id="rId92" xr:uid="{BEDFD9AD-03C5-4FF7-B37B-31D838F04F88}"/>
    <hyperlink ref="H41" r:id="rId93" xr:uid="{F777ED46-67BB-4ADC-8BD5-9036A6BDD52D}"/>
    <hyperlink ref="H51" r:id="rId94" xr:uid="{5B3F404B-EC68-472A-875D-DF27F7E28249}"/>
    <hyperlink ref="H40" r:id="rId95" xr:uid="{0384722B-1A64-4B53-9987-2886F98473F4}"/>
    <hyperlink ref="H34" r:id="rId96" xr:uid="{60F172F7-8364-4A9B-86AA-DE414B13F5E0}"/>
    <hyperlink ref="H36" r:id="rId97" xr:uid="{1C1EE7A4-6EF2-4126-B230-A2FE29AAD195}"/>
    <hyperlink ref="H28" r:id="rId98" xr:uid="{270C9D2D-85A7-4A63-A2D5-3C9CE493F956}"/>
    <hyperlink ref="H33" r:id="rId99" xr:uid="{6A6E53E3-AE87-4FB2-953E-902935496FB6}"/>
    <hyperlink ref="H52" r:id="rId100" xr:uid="{0E1F27B0-2567-4457-B655-BDB84516BA28}"/>
    <hyperlink ref="H53" r:id="rId101" xr:uid="{6DFFE22C-348B-4CC5-86E3-7FFF020F3A4C}"/>
    <hyperlink ref="H77" r:id="rId102" xr:uid="{8A65ED5D-AC5D-4A90-A817-D8E0EEB9A547}"/>
    <hyperlink ref="H78" r:id="rId103" xr:uid="{CE11CC1C-F451-42EE-86DB-DD79BE32D4D8}"/>
    <hyperlink ref="H79" r:id="rId104" xr:uid="{DD79BC95-A8B0-4329-A418-2247AB1DCF88}"/>
    <hyperlink ref="H80" r:id="rId105" xr:uid="{CB6AD8B0-344D-4A2B-8C7D-67DE72A49C5D}"/>
    <hyperlink ref="H81" r:id="rId106" xr:uid="{7D49C5D2-C7B3-4E09-938B-E7D402DF923B}"/>
    <hyperlink ref="H82" r:id="rId107" xr:uid="{D554C58A-F23D-4DF4-A6B1-65F9AFF2624B}"/>
    <hyperlink ref="H83" r:id="rId108" xr:uid="{035B7F38-D83C-482B-9BB5-59D26A721A97}"/>
    <hyperlink ref="H84" r:id="rId109" xr:uid="{A477B608-39FA-4220-B0E4-C91A3215C64F}"/>
    <hyperlink ref="H85" r:id="rId110" xr:uid="{9F52F41A-17A7-4AEB-83BF-B35776AADC2D}"/>
    <hyperlink ref="H90" r:id="rId111" xr:uid="{30B79EA4-D49A-4BBC-8BD0-A8CE2EC0BA2A}"/>
    <hyperlink ref="H91" r:id="rId112" xr:uid="{67501BB3-69AF-4C5F-B465-779C79DA5506}"/>
    <hyperlink ref="H92" r:id="rId113" xr:uid="{F03DC0AB-BB29-4CDC-BD57-BDAE7E22F334}"/>
    <hyperlink ref="H93" r:id="rId114" xr:uid="{7A3D96F5-1A44-4C09-89C6-11887CB47F17}"/>
    <hyperlink ref="H94" r:id="rId115" xr:uid="{82944E9A-2AAA-4496-8DDF-5C4EB0F238B8}"/>
    <hyperlink ref="H95" r:id="rId116" xr:uid="{96A8A9DA-7D1F-4A7C-A489-992B663F5A7E}"/>
    <hyperlink ref="H96" r:id="rId117" xr:uid="{4CFDA49F-5608-434C-86CD-490684C8AB76}"/>
    <hyperlink ref="H97" r:id="rId118" xr:uid="{E466AA77-2642-4AEC-B052-26AA5FC24740}"/>
    <hyperlink ref="H99" r:id="rId119" xr:uid="{0AF98513-1FFA-4F09-8AC4-3DF8EC8A88E8}"/>
    <hyperlink ref="H100" r:id="rId120" xr:uid="{19D8FD91-108D-41ED-B8BB-74584864E55C}"/>
    <hyperlink ref="H101" r:id="rId121" xr:uid="{09C95867-EF8A-4E83-8797-D96F4E8CFA24}"/>
    <hyperlink ref="H102" r:id="rId122" xr:uid="{1561573D-9214-4307-8FC5-DC6C756A0BD2}"/>
    <hyperlink ref="H103" r:id="rId123" xr:uid="{BB7CFBD0-2837-41AB-8F16-A8F09678D044}"/>
    <hyperlink ref="H104" r:id="rId124" xr:uid="{68D20C35-E184-415E-8A2A-B5452687C37E}"/>
    <hyperlink ref="H110" r:id="rId125" xr:uid="{35EE6EF9-A6F2-4401-9C42-172DBC88B8FA}"/>
    <hyperlink ref="H111" r:id="rId126" xr:uid="{C252A21C-6B84-4152-8213-7C33DA478406}"/>
    <hyperlink ref="H112" r:id="rId127" xr:uid="{B800DF35-7548-4EA5-9B00-05E6FBC13765}"/>
    <hyperlink ref="H113" r:id="rId128" xr:uid="{A097B7FA-13A5-4450-BF7B-D6A8E904BFC0}"/>
    <hyperlink ref="H114" r:id="rId129" xr:uid="{4F1B522E-1562-4C9A-9369-DAFC8F4C7796}"/>
    <hyperlink ref="H115" r:id="rId130" xr:uid="{B95C5DA8-69D9-471F-BC6F-8ED1C5F666BC}"/>
    <hyperlink ref="H118" r:id="rId131" xr:uid="{31D0A53F-3341-420C-B90D-E2620A45247D}"/>
    <hyperlink ref="H119" r:id="rId132" xr:uid="{838DB9F0-5844-45A7-AB53-518605634636}"/>
    <hyperlink ref="H121" r:id="rId133" xr:uid="{70579531-0E4E-49AA-A4D2-9C1452362F06}"/>
    <hyperlink ref="H120" r:id="rId134" xr:uid="{45574E90-6C33-494F-9FBB-429B27CB63E5}"/>
    <hyperlink ref="H128" r:id="rId135" xr:uid="{ECDB89A9-CFDD-4EB5-895F-DBC49C810E3E}"/>
    <hyperlink ref="H130" r:id="rId136" xr:uid="{75E2EB24-13D2-4C95-BF76-E75C780DFEDE}"/>
    <hyperlink ref="H131" r:id="rId137" xr:uid="{190BDF3A-EB4D-4809-8554-0AD332A041C8}"/>
    <hyperlink ref="H133" r:id="rId138" xr:uid="{67EAED8F-B93E-4711-B6A1-20A22A9680CE}"/>
    <hyperlink ref="H134" r:id="rId139" xr:uid="{DEB0E425-1F0A-4848-96EC-347360D3350D}"/>
    <hyperlink ref="H141" r:id="rId140" xr:uid="{F79FAEFA-18C2-42F1-B9E3-AA43737E3538}"/>
    <hyperlink ref="H145" r:id="rId141" xr:uid="{C3B69770-42F5-4EE3-8F62-0E9C9130516A}"/>
    <hyperlink ref="H146" r:id="rId142" xr:uid="{A2B46970-2667-46C2-9C16-B62B8C911F14}"/>
    <hyperlink ref="H147" r:id="rId143" xr:uid="{AFF34B3B-92D1-4602-BEA9-FEDB20E3570B}"/>
    <hyperlink ref="H148" r:id="rId144" xr:uid="{0C8100BD-7C94-488F-9514-92BEC2C40A42}"/>
    <hyperlink ref="H149" r:id="rId145" xr:uid="{86189D1F-603F-4510-B177-E2A33D3330FF}"/>
    <hyperlink ref="H150" r:id="rId146" xr:uid="{4A79FF3A-AC89-40CB-B5BD-D15EEE453C26}"/>
    <hyperlink ref="H160" r:id="rId147" xr:uid="{A86FDEDC-DC0D-422D-8C28-3BB483931DBD}"/>
    <hyperlink ref="H161" r:id="rId148" xr:uid="{DFC68FFF-EED2-4CF8-966F-4B85DF8F51E2}"/>
    <hyperlink ref="H44" r:id="rId149" xr:uid="{BDC67309-5510-49F0-8CD3-3D5564741C33}"/>
    <hyperlink ref="H48" r:id="rId150" xr:uid="{21FB915A-5EF0-4311-92DB-C7DC5DA1E267}"/>
    <hyperlink ref="H27" r:id="rId151" xr:uid="{D86FDC49-B6FC-4358-AA52-BD6C480C221F}"/>
    <hyperlink ref="H17" r:id="rId152" xr:uid="{29D16714-8BCE-4859-B05F-359C7285E32E}"/>
    <hyperlink ref="H54" r:id="rId153" xr:uid="{CF10CFB3-5538-4526-9F65-87ADF0994A46}"/>
    <hyperlink ref="H89" r:id="rId154" xr:uid="{2505C4C0-9A71-46DF-9BB5-11ACE524223F}"/>
    <hyperlink ref="H129" r:id="rId155" xr:uid="{38978056-E3A2-41F1-9038-A6CDDA69B0F2}"/>
    <hyperlink ref="H132" r:id="rId156" xr:uid="{62CF13E7-242C-4856-8B0E-CBD5174E7203}"/>
    <hyperlink ref="H86" r:id="rId157" xr:uid="{F91DC4BA-99B8-41B1-BB67-9F5B923F236D}"/>
    <hyperlink ref="I86" r:id="rId158" xr:uid="{B176898B-B022-40A9-984A-AF2229D3D1C3}"/>
    <hyperlink ref="H76" r:id="rId159" xr:uid="{E23A4BA3-76D1-4FDF-9E06-C28421389B76}"/>
    <hyperlink ref="I76" r:id="rId160" xr:uid="{094BD2BF-283A-43CE-892E-6627BFAD7323}"/>
    <hyperlink ref="H152" r:id="rId161" xr:uid="{60CF558D-DAB1-4B61-8943-3E9FB3C38781}"/>
    <hyperlink ref="I152" r:id="rId162" xr:uid="{CECF82C9-EF4B-43A7-8EEF-24836FF24E3B}"/>
    <hyperlink ref="H151" r:id="rId163" xr:uid="{D386DBE6-FFCA-4CD1-B58D-A6DC8457EB03}"/>
    <hyperlink ref="I151" r:id="rId164" xr:uid="{81720EAE-5CFC-4D92-9A47-BA4C8012E132}"/>
    <hyperlink ref="H109" r:id="rId165" xr:uid="{24B8B8BC-37C5-4BF4-AE54-374451E5D45F}"/>
    <hyperlink ref="H107" r:id="rId166" xr:uid="{A5403BF0-4E47-4B91-ACC7-FEF1208CA6CA}"/>
    <hyperlink ref="I107" r:id="rId167" xr:uid="{66F64106-D80F-4028-B9FC-008E430A8428}"/>
    <hyperlink ref="H29" r:id="rId168" xr:uid="{CFC15B86-42B7-4E1C-83A8-BAC53E1707C3}"/>
    <hyperlink ref="I29" r:id="rId169" xr:uid="{FF1C39C0-FF06-4B5A-91EA-639B03601D9D}"/>
    <hyperlink ref="H6" r:id="rId170" display="https://stats.pacificdata.org/vis?fs[0]=Development%20indicators%2C0%7CSustainable%20Development%20Goals%23SDG%23&amp;pg=0&amp;fc=Development%20indicators&amp;bp=true&amp;snb=18&amp;df[ds]=ds%3ASPC2&amp;df[id]=DF_SDG_05&amp;df[ag]=SPC&amp;df[vs]=3.0&amp;pd=2015%2C2022&amp;dq=A.SG_GEN_PARLNT.........&amp;ly[rw]=GEO_PICT&amp;ly[cl]=TIME_PERIOD" xr:uid="{C0840878-A8E7-43EB-9C5F-EB5299F9DFB9}"/>
    <hyperlink ref="I6" r:id="rId171" xr:uid="{39643BB7-30F4-4BB4-856B-F7851D3828A5}"/>
    <hyperlink ref="H42" r:id="rId172" xr:uid="{01BF43F3-2E1B-4A6B-99D6-88C57AA0290E}"/>
    <hyperlink ref="I42" r:id="rId173" xr:uid="{1F4B79A9-A5D7-41EA-BACA-3C10123C14EF}"/>
    <hyperlink ref="H35" r:id="rId174" xr:uid="{63A137CB-51C3-40F1-9B32-5AC122E48F33}"/>
    <hyperlink ref="H30" r:id="rId175" xr:uid="{81E10370-7E4D-4ABB-992E-58EA65EE20E6}"/>
    <hyperlink ref="H57" r:id="rId176" xr:uid="{FDE8AA58-2DD7-4E0D-9207-C44BCD3D0783}"/>
    <hyperlink ref="H3" r:id="rId177" xr:uid="{1BAB6801-90CB-4A98-B9C5-6050F937CEDC}"/>
    <hyperlink ref="I44" r:id="rId178" display="https://stats-sdmx-disseminate.pacificdata.org/rest/data/SPC,DF_SDG_03,3.0/A.SH_MED_DEN.[TAG_GEO]._T._T._T._T._T.222._Z._T?dimensionAtObservation=AllDimensions" xr:uid="{23B62563-F4D8-40B3-9593-B9913E4F0664}"/>
    <hyperlink ref="I30" r:id="rId179" xr:uid="{385EB454-CF7D-42BF-BEA4-232ED9CE1E22}"/>
    <hyperlink ref="I35" r:id="rId180" xr:uid="{26189249-095D-4D34-B7D8-1D97B9B9A97B}"/>
    <hyperlink ref="I3" r:id="rId181" xr:uid="{DF1F61E9-B64C-4F68-8846-6E246D0931CA}"/>
    <hyperlink ref="I57" r:id="rId182" xr:uid="{A85797ED-A9F3-450F-8D83-7AB1278DDEB3}"/>
    <hyperlink ref="I161" r:id="rId183" xr:uid="{8A744B83-2F98-4FDF-976E-DDB6C144741C}"/>
    <hyperlink ref="I109" r:id="rId184" xr:uid="{24F9FBD3-8B16-48C7-85D9-00CE39A4BB1B}"/>
    <hyperlink ref="H125" r:id="rId185" display="https://stats.pacificdata.org/vis?lc=en&amp;df[ds]=SPC2&amp;df[id]=DF_TRADE_FOOD&amp;df[ag]=SPC&amp;df[vs]=1.0&amp;pd=%2C&amp;dq=A.Q._T%2BAS%2BCK%2BFJ%2BFM%2BGU%2BKI%2BMH%2BMP%2BNC%2BNR%2BNU%2BPF%2BPG%2BPN%2BPW%2BSB%2BTK%2BTO%2BTV%2BVU%2BWF%2BWS._T.03&amp;ly[cl]=TIME_PERIOD&amp;to[TIME_PERIOD]=false" xr:uid="{CAB6AD27-6260-4FFA-91F6-748978410389}"/>
    <hyperlink ref="I125" r:id="rId186" xr:uid="{29DD9397-1537-4E83-98B9-E8085DCAFFE0}"/>
    <hyperlink ref="H126" r:id="rId187" xr:uid="{D7C5F690-B0C6-406C-985C-B4DA0F085121}"/>
    <hyperlink ref="I126" r:id="rId188" xr:uid="{3E71EC67-2095-4ABA-B917-25C411E04E13}"/>
    <hyperlink ref="H165" r:id="rId189" display="https://stats.pacificdata.org/vis?lc=en&amp;tm=Total%20donors&amp;pg=0&amp;hc[Flow%20type]=Total&amp;hc[Donor]=Total&amp;snb=3&amp;df[ds]=ds%3ASPC2&amp;df[id]=DF_PAM&amp;df[ag]=SPC&amp;df[vs]=1.0&amp;pd=%2C&amp;dq=A.VU%2BTV%2BTO%2BSB%2BWS%2BPG%2BPW%2BNU%2BNR%2BFM%2BMH%2BKI%2BFJ%2BCK.TRVAL._T.COM._T&amp;ly[cl]=TIME_PERIOD&amp;ly[rw]=GEO_PICT&amp;to[TIME_PERIOD]=false" xr:uid="{AE8D5A02-A1D3-41C4-8995-9936CAE34EF8}"/>
    <hyperlink ref="I165" r:id="rId190" xr:uid="{5F52B023-3731-4FB0-883E-42532402C351}"/>
    <hyperlink ref="H164" r:id="rId191" display="https://stats.pacificdata.org/vis?lc=en&amp;tm=Total%20donors&amp;pg=0&amp;hc[Flow%20type]=Total&amp;hc[Donor]=Total&amp;snb=3&amp;df[ds]=ds%3ASPC2&amp;df[id]=DF_PAM&amp;df[ag]=SPC&amp;df[vs]=1.0&amp;pd=%2C&amp;dq=A.VU%2BTV%2BTO%2BSB%2BWS%2BPG%2BPW%2BNU%2BNR%2BFM%2BMH%2BKI%2BFJ%2BCK.TRVAL._T.SPE._T&amp;ly[cl]=TIME_PERIOD&amp;ly[rw]=GEO_PICT&amp;to[TIME_PERIOD]=false" xr:uid="{CD4842BC-F617-46F2-AA27-F57B1BE2839D}"/>
    <hyperlink ref="I164" r:id="rId192" xr:uid="{511C22FA-F673-4937-8FF5-5F14D6A7CC89}"/>
    <hyperlink ref="H135" r:id="rId193" display="https://stats.pacificdata.org/vis?fs[0]=Development%20indicators%2C0%7CSustainable%20Development%20Goals%23SDG%23&amp;pg=10&amp;fc=Development%20indicators&amp;bp=true&amp;snb=18&amp;df[ds]=ds%3ASPC2&amp;df[id]=DF_SDG_16&amp;df[ag]=SPC&amp;df[vs]=3.0&amp;pd=%2C&amp;dq=A.SG_DMK_PARLYP_LC.........&amp;ly[rw]=GEO_PICT&amp;ly[cl]=TIME_PERIOD&amp;ly[rs]=INDICATOR&amp;to[TIME_PERIOD]=false" xr:uid="{CAFAE4FE-C292-4AFE-BDA4-07AF76BE1B99}"/>
    <hyperlink ref="H136" r:id="rId194" display="https://stats.pacificdata.org/vis?fs[0]=Development%20indicators%2C0%7CSustainable%20Development%20Goals%23SDG%23&amp;pg=10&amp;fc=Development%20indicators&amp;bp=true&amp;snb=18&amp;df[ds]=ds%3ASPC2&amp;df[id]=DF_SDG_16&amp;df[ag]=SPC&amp;df[vs]=3.0&amp;pd=%2C&amp;dq=A.SG_DMK_PARLYP_UC.........&amp;ly[rw]=GEO_PICT&amp;ly[cl]=TIME_PERIOD&amp;ly[rs]=INDICATOR&amp;to[TIME_PERIOD]=false" xr:uid="{93EF9324-6252-4AA5-816B-EE16CAF808E9}"/>
    <hyperlink ref="H55" r:id="rId195" xr:uid="{A24ADF4C-6BCB-43B8-9F05-459355220D60}"/>
    <hyperlink ref="I55" r:id="rId196" xr:uid="{5293CD94-7473-43EF-AC1E-5289E10E6481}"/>
    <hyperlink ref="H62" r:id="rId197" xr:uid="{21770D2F-20B9-4D50-8FC4-C84F7D2F53A2}"/>
    <hyperlink ref="H64" r:id="rId198" xr:uid="{D5429324-F311-49DA-9D0B-C92ADFF2E0D8}"/>
    <hyperlink ref="H63" r:id="rId199" xr:uid="{CDE46B76-1838-4B80-B1BC-8C8326C5A855}"/>
    <hyperlink ref="H58" r:id="rId200" xr:uid="{569FB30D-DA78-4C63-9B4E-8EBAE10B2B22}"/>
    <hyperlink ref="H59" r:id="rId201" xr:uid="{3DB1234E-AAB0-4E1C-94BA-FE4720076C23}"/>
    <hyperlink ref="H14" r:id="rId202" xr:uid="{1AFA20C5-DB50-465F-A46D-EBAA612794A1}"/>
    <hyperlink ref="H65" r:id="rId203" display="https://stats.pacificdata.org/vis?tm=proficiency&amp;pg=0&amp;snb=4&amp;df[ds]=ds%3ASPC2&amp;df[id]=DF_SDG_04&amp;df[ag]=SPC&amp;df[vs]=3.0&amp;pd=%2C&amp;dq=A.SE_TOT_PRFL.._T._T._T._T.1_g7%2B1_y6..SKILL_MIN_LTRCY.&amp;ly[rw]=GEO_PICT%2CEDUCATION%2CCOMPOSITE_BREAKDOWN&amp;ly[cl]=TIME_PERIOD&amp;ly[rs]=INDICATOR&amp;to[TIME_PERIOD]=false" xr:uid="{2D8EB154-9F51-44BD-8376-4D3F6D810C1F}"/>
    <hyperlink ref="I65" r:id="rId204" xr:uid="{DC2116AF-75BB-4A09-BB62-821C2B2B197F}"/>
    <hyperlink ref="H66" r:id="rId205" display="https://stats.pacificdata.org/vis?tm=proficiency&amp;pg=0&amp;snb=4&amp;df[ds]=ds%3ASPC2&amp;df[id]=DF_SDG_04&amp;df[ag]=SPC&amp;df[vs]=3.0&amp;pd=%2C&amp;dq=A.SE_TOT_PRFL..F._T._T._T.1_g7%2B1_y6..SKILL_MIN_LTRCY.&amp;ly[rw]=GEO_PICT%2CEDUCATION%2CCOMPOSITE_BREAKDOWN&amp;ly[cl]=TIME_PERIOD&amp;ly[rs]=INDICATOR&amp;to[TIME_PERIOD]=false" xr:uid="{3299DD79-949A-47B5-BB08-A659EF4FEA97}"/>
    <hyperlink ref="I66" r:id="rId206" xr:uid="{1615AB25-C266-4186-879A-2C04C86A4A1D}"/>
    <hyperlink ref="H67" r:id="rId207" display="https://stats.pacificdata.org/vis?tm=proficiency&amp;pg=0&amp;snb=4&amp;df[ds]=ds%3ASPC2&amp;df[id]=DF_SDG_04&amp;df[ag]=SPC&amp;df[vs]=3.0&amp;pd=%2C&amp;dq=A.SE_TOT_PRFL..M._T._T._T.1_g7%2B1_y6..SKILL_MIN_LTRCY.&amp;ly[rw]=GEO_PICT%2CEDUCATION%2CCOMPOSITE_BREAKDOWN&amp;ly[cl]=TIME_PERIOD&amp;ly[rs]=INDICATOR&amp;to[TIME_PERIOD]=false" xr:uid="{90DB81EB-1605-4F2C-B889-CB71A5936606}"/>
    <hyperlink ref="I67" r:id="rId208" xr:uid="{FEB9E8D7-26A7-4A3A-88D0-405FF2C1E666}"/>
    <hyperlink ref="H68" r:id="rId209" display="https://stats.pacificdata.org/vis?tm=proficiency&amp;pg=0&amp;snb=4&amp;df[ds]=ds%3ASPC2&amp;df[id]=DF_SDG_04&amp;df[ag]=SPC&amp;df[vs]=3.0&amp;pd=%2C&amp;dq=A.SE_TOT_PRFL.._T._T._T._T.1_g7%2B1_y6..SKILL_MIN_NMRCY.&amp;ly[rw]=GEO_PICT%2CEDUCATION%2CCOMPOSITE_BREAKDOWN&amp;ly[cl]=TIME_PERIOD&amp;ly[rs]=INDICATOR&amp;to[TIME_PERIOD]=false" xr:uid="{06B7C187-1E50-478D-9FDD-11D1FB4503C2}"/>
    <hyperlink ref="I68" r:id="rId210" xr:uid="{49779039-147B-49D1-871B-88B3C8CCAE12}"/>
    <hyperlink ref="H69" r:id="rId211" display="https://stats.pacificdata.org/vis?tm=proficiency&amp;pg=0&amp;snb=4&amp;df[ds]=ds%3ASPC2&amp;df[id]=DF_SDG_04&amp;df[ag]=SPC&amp;df[vs]=3.0&amp;pd=%2C&amp;dq=A.SE_TOT_PRFL..F._T._T._T.1_g7%2B1_y6..SKILL_MIN_NMRCY.&amp;ly[rw]=GEO_PICT%2CEDUCATION%2CCOMPOSITE_BREAKDOWN&amp;ly[cl]=TIME_PERIOD&amp;ly[rs]=INDICATOR&amp;to[TIME_PERIOD]=false" xr:uid="{74ED3767-F65C-4673-BDDC-919325BCC118}"/>
    <hyperlink ref="I69" r:id="rId212" xr:uid="{27D34880-98B7-4AB8-9667-5A1666FE2208}"/>
    <hyperlink ref="H70" r:id="rId213" display="https://stats.pacificdata.org/vis?tm=proficiency&amp;pg=0&amp;snb=4&amp;df[ds]=ds%3ASPC2&amp;df[id]=DF_SDG_04&amp;df[ag]=SPC&amp;df[vs]=3.0&amp;pd=%2C&amp;dq=A.SE_TOT_PRFL..M._T._T._T.1_g7%2B1_y6..SKILL_MIN_NMRCY.&amp;ly[rw]=GEO_PICT%2CEDUCATION%2CCOMPOSITE_BREAKDOWN&amp;ly[cl]=TIME_PERIOD&amp;ly[rs]=INDICATOR&amp;to[TIME_PERIOD]=false" xr:uid="{8B67952D-AE80-4272-9A59-88972C17A2BE}"/>
    <hyperlink ref="I70" r:id="rId214" xr:uid="{AC14B87A-5CDB-4071-9EF0-988E334E82E2}"/>
    <hyperlink ref="H45" r:id="rId215" xr:uid="{0A226AF9-2B8B-4276-B365-4A2AB7E5B4CE}"/>
    <hyperlink ref="H46" r:id="rId216" xr:uid="{3D95ED94-2DC0-461C-B6B1-B7CA0A4CD45D}"/>
    <hyperlink ref="H47" r:id="rId217" xr:uid="{CB0E1202-E947-4332-9E5F-BB570C220569}"/>
    <hyperlink ref="H137" r:id="rId218" display="https://stats.pacificdata.org/vis?fs[0]=Development%20indicators%2C0%7CSustainable%20Development%20Goals%23SDG%23&amp;pg=10&amp;fc=Development%20indicators&amp;bp=true&amp;snb=18&amp;df[ds]=ds%3ASPC2&amp;df[id]=DF_SDG_16&amp;df[ag]=SPC&amp;df[vs]=3.0&amp;pd=%2C&amp;dq=A.VC_PRS_UNSNT..._T.._T..._Z.&amp;ly[rw]=GEO_PICT&amp;ly[cl]=TIME_PERIOD&amp;ly[rs]=INDICATOR&amp;to[TIME_PERIOD]=false" xr:uid="{0B6F5AC3-CB25-492C-AA5C-8E34AE6434C5}"/>
    <hyperlink ref="I137" r:id="rId219" xr:uid="{B35664F9-13F2-480D-8170-377DD3881008}"/>
    <hyperlink ref="H142" r:id="rId220" display="https://stats.pacificdata.org/vis?fs[0]=Development%20indicators%2C0%7CSustainable%20Development%20Goals%23SDG%23&amp;pg=10&amp;fc=Development%20indicators&amp;bp=true&amp;snb=18&amp;df[ds]=ds%3ASPC2&amp;df[id]=DF_SDG_16&amp;df[ag]=SPC&amp;df[vs]=3.0&amp;pd=%2C&amp;dq=A.VC_IHR_PSRC.._T.._T._T..._Z.&amp;ly[rw]=GEO_PICT&amp;ly[cl]=TIME_PERIOD&amp;ly[rs]=INDICATOR&amp;to[TIME_PERIOD]=false" xr:uid="{63F350A2-C5FE-4282-8E10-29D726F69F0B}"/>
    <hyperlink ref="I142" r:id="rId221" xr:uid="{132C7B18-81D6-4A4F-82E6-A2F395B07928}"/>
    <hyperlink ref="H60" r:id="rId222" display="https://stats.pacificdata.org/vis?fs[0]=Development%20indicators%2C0%7CNational%20Minimum%20Development%20Indicators%23NMDI%23&amp;pg=0&amp;fc=Development%20indicators&amp;bp=true&amp;snb=8&amp;df[ds]=ds%3ASPC2&amp;df[id]=DF_NMDI_EDU&amp;df[ag]=SPC&amp;df[vs]=1.0&amp;pd=%2C&amp;dq=A..NMDI0019._T._T.U._T.&amp;ly[rw]=GEO_PICT&amp;ly[cl]=TIME_PERIOD&amp;to[TIME_PERIOD]=false" xr:uid="{6E36BAA2-8F87-437D-81DD-D4E8C215FEA4}"/>
    <hyperlink ref="H61" r:id="rId223" display="https://stats.pacificdata.org/vis?fs[0]=Development%20indicators%2C0%7CNational%20Minimum%20Development%20Indicators%23NMDI%23&amp;pg=0&amp;fc=Development%20indicators&amp;bp=true&amp;snb=8&amp;df[ds]=ds%3ASPC2&amp;df[id]=DF_NMDI_EDU&amp;df[ag]=SPC&amp;df[vs]=1.0&amp;pd=%2C&amp;dq=A..NMDI0019._T._T.R._T.&amp;ly[rw]=GEO_PICT&amp;ly[cl]=TIME_PERIOD&amp;to[TIME_PERIOD]=false" xr:uid="{9FAA9A0D-FE86-4F07-A8B0-7082922E9183}"/>
    <hyperlink ref="I61" r:id="rId224" xr:uid="{83179D86-EA7E-4667-80BF-132FD4873736}"/>
    <hyperlink ref="I60" r:id="rId225" xr:uid="{8339061B-C27C-43E0-9916-A988F13BB9AE}"/>
    <hyperlink ref="H37" r:id="rId226" display="https://stats.pacificdata.org/vis?fs[0]=Development%20indicators%2C0%7CNational%20Minimum%20Development%20Indicators%23NMDI%23&amp;pg=0&amp;fc=Development%20indicators&amp;bp=true&amp;snb=8&amp;df[ds]=ds%3ASPC2&amp;df[id]=DF_NMDI_HEA&amp;df[ag]=SPC&amp;df[vs]=1.0&amp;pd=%2C&amp;dq=A..NMDI0103._T._T._T..&amp;ly[rw]=GEO_PICT&amp;ly[cl]=TIME_PERIOD&amp;to[TIME_PERIOD]=false" xr:uid="{065A90AF-0DF0-4453-8DDB-E56256223D74}"/>
    <hyperlink ref="I37" r:id="rId227" xr:uid="{7022003F-2D1A-40CD-9A92-B10F26DCAA6E}"/>
    <hyperlink ref="H38" r:id="rId228" display="https://stats.pacificdata.org/vis?fs[0]=Development%20indicators%2C0%7CNational%20Minimum%20Development%20Indicators%23NMDI%23&amp;pg=0&amp;fc=Development%20indicators&amp;bp=true&amp;snb=8&amp;df[ds]=ds%3ASPC2&amp;df[id]=DF_NMDI_HEA&amp;df[ag]=SPC&amp;df[vs]=1.0&amp;pd=%2C&amp;dq=A..NMDI0145._T._T._T..&amp;ly[rw]=GEO_PICT&amp;ly[cl]=TIME_PERIOD&amp;to[TIME_PERIOD]=false" xr:uid="{DC904C30-A09F-4BD4-850D-2D320CA8F8ED}"/>
    <hyperlink ref="I38" r:id="rId229" xr:uid="{3718B8F4-FDC9-4FD0-9AF9-A8E6EEC20EBC}"/>
    <hyperlink ref="H39" r:id="rId230" display="https://stats.pacificdata.org/vis?fs[0]=Development%20indicators%2C0%7CNational%20Minimum%20Development%20Indicators%23NMDI%23&amp;pg=0&amp;fc=Development%20indicators&amp;bp=true&amp;snb=8&amp;df[ds]=ds%3ASPC2&amp;df[id]=DF_NMDI_HEA&amp;df[ag]=SPC&amp;df[vs]=1.0&amp;pd=%2C&amp;dq=A..NMDI0146._T._T._T..&amp;ly[rw]=GEO_PICT&amp;ly[cl]=TIME_PERIOD&amp;to[TIME_PERIOD]=false" xr:uid="{84F0BE7D-2955-4BD2-8A30-6F066A31E8AC}"/>
    <hyperlink ref="I39" r:id="rId231" xr:uid="{C1306E2D-D2BC-48AC-968A-1AC08EC38B87}"/>
  </hyperlinks>
  <pageMargins left="0.7" right="0.7" top="0.75" bottom="0.75" header="0.3" footer="0.3"/>
  <pageSetup paperSize="9" orientation="portrait" r:id="rId232"/>
  <legacyDrawing r:id="rId23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560B-3289-45C3-832F-F08D5B4607BD}">
  <dimension ref="A1:P171"/>
  <sheetViews>
    <sheetView tabSelected="1" workbookViewId="0">
      <pane ySplit="1" topLeftCell="A85" activePane="bottomLeft" state="frozen"/>
      <selection pane="bottomLeft" activeCell="D120" sqref="D120"/>
    </sheetView>
  </sheetViews>
  <sheetFormatPr defaultRowHeight="15" customHeight="1" x14ac:dyDescent="0.35"/>
  <cols>
    <col min="5" max="5" width="81" customWidth="1"/>
    <col min="6" max="6" width="69.7265625" customWidth="1"/>
    <col min="7" max="10" width="9.1796875" customWidth="1"/>
    <col min="11" max="11" width="17.453125" customWidth="1"/>
    <col min="12" max="12" width="9.1796875" customWidth="1"/>
    <col min="13" max="13" width="13.26953125" customWidth="1"/>
    <col min="14" max="14" width="78.26953125" customWidth="1"/>
    <col min="15" max="15" width="9.1796875" customWidth="1"/>
  </cols>
  <sheetData>
    <row r="1" spans="1:16" ht="14.5" x14ac:dyDescent="0.35">
      <c r="A1" s="19" t="s">
        <v>52</v>
      </c>
      <c r="B1" s="19" t="s">
        <v>0</v>
      </c>
      <c r="C1" s="2" t="s">
        <v>53</v>
      </c>
      <c r="D1" s="2" t="s">
        <v>54</v>
      </c>
      <c r="E1" s="2" t="s">
        <v>3</v>
      </c>
      <c r="F1" s="2" t="s">
        <v>55</v>
      </c>
      <c r="G1" s="2" t="s">
        <v>56</v>
      </c>
      <c r="H1" s="2" t="s">
        <v>57</v>
      </c>
      <c r="I1" s="2" t="s">
        <v>58</v>
      </c>
      <c r="J1" s="22" t="s">
        <v>59</v>
      </c>
      <c r="K1" s="22" t="s">
        <v>60</v>
      </c>
      <c r="L1" s="22" t="s">
        <v>59</v>
      </c>
      <c r="M1" s="22" t="s">
        <v>61</v>
      </c>
      <c r="N1" s="22" t="s">
        <v>719</v>
      </c>
      <c r="O1" s="22" t="s">
        <v>720</v>
      </c>
      <c r="P1" s="22" t="s">
        <v>721</v>
      </c>
    </row>
    <row r="2" spans="1:16" ht="14.5" x14ac:dyDescent="0.35">
      <c r="A2" s="20">
        <v>1</v>
      </c>
      <c r="B2" s="20">
        <v>1</v>
      </c>
      <c r="C2" s="3" t="s">
        <v>62</v>
      </c>
      <c r="D2" s="3" t="s">
        <v>63</v>
      </c>
      <c r="E2" s="3" t="s">
        <v>64</v>
      </c>
      <c r="F2" s="3"/>
      <c r="G2" s="3" t="s">
        <v>65</v>
      </c>
      <c r="H2" s="3" t="s">
        <v>65</v>
      </c>
      <c r="I2" s="3" t="s">
        <v>65</v>
      </c>
      <c r="J2" s="25" t="s">
        <v>65</v>
      </c>
      <c r="K2" s="23" t="str">
        <f t="shared" ref="K2:K87" si="0">IF(I2="-", "-", LEFT(RIGHT(I2, LEN(I2)-FIND("SPC,", I2)-3), FIND(",", RIGHT(I2, LEN(I2)-FIND("SPC,", I2)-3))-1))</f>
        <v>-</v>
      </c>
      <c r="L2" s="23"/>
      <c r="M2" s="23"/>
      <c r="N2" s="23"/>
    </row>
    <row r="3" spans="1:16" ht="14.5" x14ac:dyDescent="0.35">
      <c r="A3" s="20">
        <v>2</v>
      </c>
      <c r="B3" s="20">
        <v>1</v>
      </c>
      <c r="C3" t="s">
        <v>66</v>
      </c>
      <c r="D3" t="s">
        <v>67</v>
      </c>
      <c r="E3" t="s">
        <v>68</v>
      </c>
      <c r="F3" t="s">
        <v>68</v>
      </c>
      <c r="G3" t="s">
        <v>69</v>
      </c>
      <c r="H3" s="4" t="s">
        <v>722</v>
      </c>
      <c r="I3" s="4" t="s">
        <v>723</v>
      </c>
      <c r="J3" s="23" t="s">
        <v>65</v>
      </c>
      <c r="K3" s="23" t="str">
        <f t="shared" si="0"/>
        <v>DF_KEYFACTS</v>
      </c>
      <c r="L3" s="23" t="s">
        <v>72</v>
      </c>
      <c r="M3" s="23"/>
      <c r="N3" s="23" t="s">
        <v>724</v>
      </c>
    </row>
    <row r="4" spans="1:16" ht="14.5" x14ac:dyDescent="0.35">
      <c r="A4" s="20">
        <v>3</v>
      </c>
      <c r="B4" s="20">
        <v>1</v>
      </c>
      <c r="C4" t="s">
        <v>66</v>
      </c>
      <c r="D4" t="s">
        <v>73</v>
      </c>
      <c r="E4" t="s">
        <v>74</v>
      </c>
      <c r="F4" t="s">
        <v>74</v>
      </c>
      <c r="G4" t="s">
        <v>69</v>
      </c>
      <c r="H4" t="s">
        <v>65</v>
      </c>
      <c r="I4" t="s">
        <v>65</v>
      </c>
      <c r="J4" s="23" t="s">
        <v>65</v>
      </c>
      <c r="K4" s="23" t="str">
        <f t="shared" si="0"/>
        <v>-</v>
      </c>
      <c r="L4" s="23"/>
      <c r="M4" s="23"/>
      <c r="N4" s="23"/>
    </row>
    <row r="5" spans="1:16" ht="14.5" x14ac:dyDescent="0.35">
      <c r="A5" s="20">
        <v>4</v>
      </c>
      <c r="B5" s="20">
        <v>1</v>
      </c>
      <c r="C5" t="s">
        <v>66</v>
      </c>
      <c r="D5" t="s">
        <v>75</v>
      </c>
      <c r="E5" t="s">
        <v>76</v>
      </c>
      <c r="F5" t="s">
        <v>76</v>
      </c>
      <c r="G5" t="s">
        <v>69</v>
      </c>
      <c r="H5" t="s">
        <v>65</v>
      </c>
      <c r="I5" t="s">
        <v>65</v>
      </c>
      <c r="J5" s="23" t="s">
        <v>65</v>
      </c>
      <c r="K5" s="23" t="str">
        <f t="shared" si="0"/>
        <v>-</v>
      </c>
      <c r="L5" s="23"/>
      <c r="M5" s="23"/>
      <c r="N5" s="23"/>
    </row>
    <row r="6" spans="1:16" ht="14.5" x14ac:dyDescent="0.35">
      <c r="A6" s="20">
        <v>5</v>
      </c>
      <c r="B6" s="20">
        <v>1</v>
      </c>
      <c r="C6" t="s">
        <v>66</v>
      </c>
      <c r="D6" t="s">
        <v>77</v>
      </c>
      <c r="E6" t="s">
        <v>78</v>
      </c>
      <c r="F6" t="s">
        <v>79</v>
      </c>
      <c r="G6" t="s">
        <v>69</v>
      </c>
      <c r="H6" s="5" t="s">
        <v>725</v>
      </c>
      <c r="I6" s="5" t="s">
        <v>726</v>
      </c>
      <c r="J6" s="23" t="s">
        <v>65</v>
      </c>
      <c r="K6" s="23" t="str">
        <f t="shared" si="0"/>
        <v>DF_SDG_05</v>
      </c>
      <c r="L6" s="23"/>
      <c r="M6" s="23"/>
      <c r="N6" s="23" t="s">
        <v>727</v>
      </c>
    </row>
    <row r="7" spans="1:16" ht="14.5" x14ac:dyDescent="0.35">
      <c r="A7" s="20">
        <v>6</v>
      </c>
      <c r="B7" s="20">
        <v>1</v>
      </c>
      <c r="C7" t="s">
        <v>66</v>
      </c>
      <c r="D7" t="s">
        <v>82</v>
      </c>
      <c r="E7" t="s">
        <v>83</v>
      </c>
      <c r="F7" t="s">
        <v>83</v>
      </c>
      <c r="G7" t="s">
        <v>69</v>
      </c>
      <c r="H7" s="4" t="s">
        <v>728</v>
      </c>
      <c r="I7" s="4" t="s">
        <v>729</v>
      </c>
      <c r="J7" s="23" t="s">
        <v>65</v>
      </c>
      <c r="K7" s="23" t="str">
        <f>IF(I7="-", "-", LEFT(RIGHT(I7, LEN(I7)-FIND("SPC,", I7)-3), FIND(",", RIGHT(I7, LEN(I7)-FIND("SPC,", I7)-3))-1))</f>
        <v>DF_POP_PROJ</v>
      </c>
      <c r="L7" s="23"/>
      <c r="M7" s="23"/>
      <c r="N7" s="23" t="s">
        <v>724</v>
      </c>
    </row>
    <row r="8" spans="1:16" ht="14.5" x14ac:dyDescent="0.35">
      <c r="A8" s="20">
        <v>7</v>
      </c>
      <c r="B8" s="20">
        <v>1</v>
      </c>
      <c r="C8" t="s">
        <v>66</v>
      </c>
      <c r="D8" t="s">
        <v>86</v>
      </c>
      <c r="E8" t="s">
        <v>87</v>
      </c>
      <c r="F8" t="s">
        <v>87</v>
      </c>
      <c r="G8" t="s">
        <v>69</v>
      </c>
      <c r="H8" s="4" t="s">
        <v>730</v>
      </c>
      <c r="I8" s="4" t="s">
        <v>731</v>
      </c>
      <c r="J8" s="23" t="s">
        <v>65</v>
      </c>
      <c r="K8" s="23" t="str">
        <f t="shared" si="0"/>
        <v>DF_POP_URBAN</v>
      </c>
      <c r="L8" s="23"/>
      <c r="M8" s="23"/>
      <c r="N8" s="23" t="s">
        <v>724</v>
      </c>
    </row>
    <row r="9" spans="1:16" ht="14.5" x14ac:dyDescent="0.35">
      <c r="A9" s="20">
        <v>8</v>
      </c>
      <c r="B9" s="20">
        <v>1</v>
      </c>
      <c r="C9" t="s">
        <v>66</v>
      </c>
      <c r="D9" t="s">
        <v>90</v>
      </c>
      <c r="E9" t="s">
        <v>91</v>
      </c>
      <c r="F9" t="s">
        <v>91</v>
      </c>
      <c r="G9" t="s">
        <v>69</v>
      </c>
      <c r="H9" s="4" t="s">
        <v>92</v>
      </c>
      <c r="I9" s="4" t="s">
        <v>93</v>
      </c>
      <c r="J9" s="23" t="s">
        <v>65</v>
      </c>
      <c r="K9" s="23" t="str">
        <f t="shared" si="0"/>
        <v>DF_POP_AGE</v>
      </c>
      <c r="L9" s="23"/>
      <c r="M9" s="23"/>
      <c r="N9" s="23"/>
    </row>
    <row r="10" spans="1:16" ht="14.5" x14ac:dyDescent="0.35">
      <c r="A10" s="20">
        <v>9</v>
      </c>
      <c r="B10" s="20">
        <v>1</v>
      </c>
      <c r="C10" t="s">
        <v>66</v>
      </c>
      <c r="D10" t="s">
        <v>94</v>
      </c>
      <c r="E10" t="s">
        <v>95</v>
      </c>
      <c r="F10" t="s">
        <v>95</v>
      </c>
      <c r="G10" t="s">
        <v>69</v>
      </c>
      <c r="H10" s="4" t="s">
        <v>96</v>
      </c>
      <c r="I10" s="4" t="s">
        <v>97</v>
      </c>
      <c r="J10" s="23" t="s">
        <v>65</v>
      </c>
      <c r="K10" s="23" t="str">
        <f t="shared" si="0"/>
        <v>DF_POP_PROJ</v>
      </c>
      <c r="L10" s="23"/>
      <c r="M10" s="23"/>
      <c r="N10" s="23"/>
    </row>
    <row r="11" spans="1:16" ht="14.5" x14ac:dyDescent="0.35">
      <c r="A11" s="20">
        <v>10</v>
      </c>
      <c r="B11" s="20">
        <v>1</v>
      </c>
      <c r="C11" t="s">
        <v>66</v>
      </c>
      <c r="D11" t="s">
        <v>98</v>
      </c>
      <c r="E11" t="s">
        <v>99</v>
      </c>
      <c r="F11" t="s">
        <v>99</v>
      </c>
      <c r="G11" t="s">
        <v>69</v>
      </c>
      <c r="H11" s="4" t="s">
        <v>100</v>
      </c>
      <c r="I11" s="4" t="s">
        <v>101</v>
      </c>
      <c r="J11" s="23" t="s">
        <v>65</v>
      </c>
      <c r="K11" s="23" t="str">
        <f t="shared" si="0"/>
        <v>DF_HHCOUNTS</v>
      </c>
      <c r="L11" s="23"/>
      <c r="M11" s="23"/>
      <c r="N11" s="23"/>
    </row>
    <row r="12" spans="1:16" ht="14.5" x14ac:dyDescent="0.35">
      <c r="A12" s="20">
        <v>11</v>
      </c>
      <c r="B12" s="20">
        <v>1</v>
      </c>
      <c r="C12" t="s">
        <v>66</v>
      </c>
      <c r="D12" t="s">
        <v>102</v>
      </c>
      <c r="E12" t="s">
        <v>103</v>
      </c>
      <c r="F12" t="s">
        <v>103</v>
      </c>
      <c r="G12" t="s">
        <v>69</v>
      </c>
      <c r="H12" s="4" t="s">
        <v>104</v>
      </c>
      <c r="I12" s="4" t="s">
        <v>105</v>
      </c>
      <c r="J12" s="23" t="s">
        <v>65</v>
      </c>
      <c r="K12" s="23" t="str">
        <f t="shared" si="0"/>
        <v>DF_POP_DENSITY</v>
      </c>
      <c r="L12" s="23"/>
      <c r="M12" s="23"/>
      <c r="N12" s="23"/>
    </row>
    <row r="13" spans="1:16" ht="14.5" x14ac:dyDescent="0.35">
      <c r="A13" s="20">
        <v>12</v>
      </c>
      <c r="B13" s="20">
        <v>1</v>
      </c>
      <c r="C13" t="s">
        <v>66</v>
      </c>
      <c r="D13" t="s">
        <v>106</v>
      </c>
      <c r="E13" t="s">
        <v>107</v>
      </c>
      <c r="F13" t="s">
        <v>108</v>
      </c>
      <c r="G13" t="s">
        <v>69</v>
      </c>
      <c r="H13" s="4" t="s">
        <v>109</v>
      </c>
      <c r="I13" s="4" t="s">
        <v>110</v>
      </c>
      <c r="J13" s="23" t="s">
        <v>65</v>
      </c>
      <c r="K13" s="23" t="str">
        <f t="shared" si="0"/>
        <v>DF_POP_AGE</v>
      </c>
      <c r="L13" s="23"/>
      <c r="M13" s="23"/>
      <c r="N13" s="23"/>
    </row>
    <row r="14" spans="1:16" ht="14.5" x14ac:dyDescent="0.35">
      <c r="A14" s="20">
        <v>13</v>
      </c>
      <c r="B14" s="20">
        <v>1</v>
      </c>
      <c r="C14" t="s">
        <v>66</v>
      </c>
      <c r="D14" t="s">
        <v>111</v>
      </c>
      <c r="E14" s="23" t="s">
        <v>112</v>
      </c>
      <c r="F14" t="s">
        <v>113</v>
      </c>
      <c r="G14" t="s">
        <v>69</v>
      </c>
      <c r="H14" s="4" t="s">
        <v>114</v>
      </c>
      <c r="I14" s="4" t="s">
        <v>115</v>
      </c>
      <c r="J14" s="23" t="s">
        <v>65</v>
      </c>
      <c r="K14" s="23" t="str">
        <f t="shared" si="0"/>
        <v>DF_POP_AGE</v>
      </c>
      <c r="L14" s="23" t="s">
        <v>116</v>
      </c>
      <c r="M14" s="23"/>
      <c r="N14" s="23"/>
    </row>
    <row r="15" spans="1:16" ht="14.5" x14ac:dyDescent="0.35">
      <c r="A15" s="20">
        <v>14</v>
      </c>
      <c r="B15" s="20">
        <v>1</v>
      </c>
      <c r="C15" t="s">
        <v>66</v>
      </c>
      <c r="D15" t="s">
        <v>117</v>
      </c>
      <c r="E15" t="s">
        <v>118</v>
      </c>
      <c r="F15" t="s">
        <v>118</v>
      </c>
      <c r="G15" t="s">
        <v>69</v>
      </c>
      <c r="H15" s="4" t="s">
        <v>119</v>
      </c>
      <c r="I15" s="4" t="s">
        <v>120</v>
      </c>
      <c r="J15" s="23" t="s">
        <v>65</v>
      </c>
      <c r="K15" s="23" t="str">
        <f t="shared" si="0"/>
        <v>DF_POP_COAST</v>
      </c>
      <c r="L15" s="23"/>
      <c r="M15" s="23"/>
      <c r="N15" s="23"/>
    </row>
    <row r="16" spans="1:16" ht="14.5" x14ac:dyDescent="0.35">
      <c r="A16" s="20">
        <v>15</v>
      </c>
      <c r="B16" s="20">
        <v>1</v>
      </c>
      <c r="C16" t="s">
        <v>66</v>
      </c>
      <c r="D16" t="s">
        <v>121</v>
      </c>
      <c r="E16" t="s">
        <v>122</v>
      </c>
      <c r="F16" t="s">
        <v>122</v>
      </c>
      <c r="G16" t="s">
        <v>69</v>
      </c>
      <c r="H16" s="4" t="s">
        <v>123</v>
      </c>
      <c r="I16" s="4" t="s">
        <v>124</v>
      </c>
      <c r="J16" s="23" t="s">
        <v>65</v>
      </c>
      <c r="K16" s="23" t="str">
        <f t="shared" si="0"/>
        <v>DF_POP_COAST</v>
      </c>
      <c r="L16" s="23"/>
      <c r="M16" s="23"/>
      <c r="N16" s="23"/>
    </row>
    <row r="17" spans="1:16" ht="14.5" x14ac:dyDescent="0.35">
      <c r="A17" s="20">
        <v>16</v>
      </c>
      <c r="B17" s="20">
        <v>1</v>
      </c>
      <c r="C17" t="s">
        <v>66</v>
      </c>
      <c r="D17" t="s">
        <v>125</v>
      </c>
      <c r="E17" t="s">
        <v>126</v>
      </c>
      <c r="F17" t="s">
        <v>126</v>
      </c>
      <c r="G17" t="s">
        <v>69</v>
      </c>
      <c r="H17" s="4" t="s">
        <v>127</v>
      </c>
      <c r="I17" s="4" t="s">
        <v>128</v>
      </c>
      <c r="J17" s="23" t="s">
        <v>65</v>
      </c>
      <c r="K17" s="23" t="str">
        <f t="shared" si="0"/>
        <v>DF_POP_COAST</v>
      </c>
      <c r="L17" s="23"/>
      <c r="M17" s="23"/>
      <c r="N17" s="23"/>
    </row>
    <row r="18" spans="1:16" ht="14.5" x14ac:dyDescent="0.35">
      <c r="A18" s="20">
        <v>17</v>
      </c>
      <c r="B18" s="20">
        <v>1</v>
      </c>
      <c r="C18" t="s">
        <v>66</v>
      </c>
      <c r="D18" t="s">
        <v>129</v>
      </c>
      <c r="E18" t="s">
        <v>130</v>
      </c>
      <c r="F18" t="s">
        <v>130</v>
      </c>
      <c r="G18" t="s">
        <v>69</v>
      </c>
      <c r="H18" s="4" t="s">
        <v>131</v>
      </c>
      <c r="I18" s="4" t="s">
        <v>132</v>
      </c>
      <c r="J18" s="23" t="s">
        <v>65</v>
      </c>
      <c r="K18" s="23" t="str">
        <f t="shared" si="0"/>
        <v>DF_POP_DENSITY</v>
      </c>
      <c r="L18" s="23"/>
      <c r="M18" s="23"/>
      <c r="N18" s="23"/>
    </row>
    <row r="19" spans="1:16" ht="14.5" x14ac:dyDescent="0.35">
      <c r="A19" s="20">
        <v>18</v>
      </c>
      <c r="B19" s="20">
        <v>1</v>
      </c>
      <c r="C19" t="s">
        <v>66</v>
      </c>
      <c r="D19" t="s">
        <v>133</v>
      </c>
      <c r="E19" t="s">
        <v>134</v>
      </c>
      <c r="F19" t="s">
        <v>134</v>
      </c>
      <c r="G19" t="s">
        <v>69</v>
      </c>
      <c r="H19" s="4" t="s">
        <v>135</v>
      </c>
      <c r="I19" s="4" t="s">
        <v>136</v>
      </c>
      <c r="J19" s="23" t="s">
        <v>65</v>
      </c>
      <c r="K19" s="23" t="str">
        <f t="shared" si="0"/>
        <v>DF_WBWDI</v>
      </c>
      <c r="L19" s="23" t="s">
        <v>137</v>
      </c>
      <c r="M19" s="23"/>
      <c r="N19" s="23"/>
    </row>
    <row r="20" spans="1:16" ht="14.5" x14ac:dyDescent="0.35">
      <c r="A20" s="20">
        <v>19</v>
      </c>
      <c r="B20" s="20">
        <v>1</v>
      </c>
      <c r="C20" t="s">
        <v>66</v>
      </c>
      <c r="D20" t="s">
        <v>138</v>
      </c>
      <c r="E20" t="s">
        <v>139</v>
      </c>
      <c r="F20" t="s">
        <v>139</v>
      </c>
      <c r="G20" t="s">
        <v>69</v>
      </c>
      <c r="H20" s="4" t="s">
        <v>140</v>
      </c>
      <c r="I20" s="4" t="s">
        <v>141</v>
      </c>
      <c r="J20" s="23" t="s">
        <v>65</v>
      </c>
      <c r="K20" s="23" t="str">
        <f t="shared" si="0"/>
        <v>DF_WBWDI</v>
      </c>
      <c r="L20" s="23" t="s">
        <v>137</v>
      </c>
      <c r="M20" s="23"/>
      <c r="N20" s="23"/>
    </row>
    <row r="21" spans="1:16" ht="14.5" x14ac:dyDescent="0.35">
      <c r="A21" s="20">
        <v>20</v>
      </c>
      <c r="B21" s="20">
        <v>0</v>
      </c>
      <c r="C21" t="s">
        <v>66</v>
      </c>
      <c r="D21" t="s">
        <v>142</v>
      </c>
      <c r="E21" t="s">
        <v>143</v>
      </c>
      <c r="F21" t="s">
        <v>143</v>
      </c>
      <c r="G21" t="s">
        <v>65</v>
      </c>
      <c r="H21" t="s">
        <v>65</v>
      </c>
      <c r="I21" t="s">
        <v>65</v>
      </c>
      <c r="J21" s="23" t="s">
        <v>65</v>
      </c>
      <c r="K21" s="23" t="str">
        <f t="shared" si="0"/>
        <v>-</v>
      </c>
      <c r="L21" s="23"/>
      <c r="M21" s="23" t="s">
        <v>732</v>
      </c>
      <c r="N21" s="23"/>
    </row>
    <row r="22" spans="1:16" ht="14.5" x14ac:dyDescent="0.35">
      <c r="A22" s="20">
        <v>21</v>
      </c>
      <c r="B22" s="20">
        <v>0</v>
      </c>
      <c r="C22" t="s">
        <v>66</v>
      </c>
      <c r="D22" t="s">
        <v>144</v>
      </c>
      <c r="E22" t="s">
        <v>145</v>
      </c>
      <c r="F22" t="s">
        <v>145</v>
      </c>
      <c r="G22" t="s">
        <v>65</v>
      </c>
      <c r="H22" t="s">
        <v>65</v>
      </c>
      <c r="I22" t="s">
        <v>65</v>
      </c>
      <c r="J22" s="23" t="s">
        <v>65</v>
      </c>
      <c r="K22" s="23" t="str">
        <f t="shared" si="0"/>
        <v>-</v>
      </c>
      <c r="L22" s="23"/>
      <c r="M22" s="23" t="s">
        <v>732</v>
      </c>
      <c r="N22" s="23"/>
    </row>
    <row r="23" spans="1:16" ht="14.5" x14ac:dyDescent="0.35">
      <c r="A23" s="20">
        <v>22</v>
      </c>
      <c r="B23" s="20">
        <v>0</v>
      </c>
      <c r="C23" t="s">
        <v>66</v>
      </c>
      <c r="D23" t="s">
        <v>146</v>
      </c>
      <c r="E23" t="s">
        <v>147</v>
      </c>
      <c r="F23" t="s">
        <v>147</v>
      </c>
      <c r="G23" t="s">
        <v>65</v>
      </c>
      <c r="H23" t="s">
        <v>65</v>
      </c>
      <c r="I23" t="s">
        <v>65</v>
      </c>
      <c r="J23" s="23" t="s">
        <v>65</v>
      </c>
      <c r="K23" s="23" t="str">
        <f t="shared" si="0"/>
        <v>-</v>
      </c>
      <c r="L23" s="23"/>
      <c r="M23" s="23" t="s">
        <v>732</v>
      </c>
      <c r="N23" s="23"/>
      <c r="O23" s="23"/>
    </row>
    <row r="24" spans="1:16" ht="14.5" x14ac:dyDescent="0.35">
      <c r="A24" s="20">
        <v>23</v>
      </c>
      <c r="B24" s="20">
        <v>0</v>
      </c>
      <c r="C24" t="s">
        <v>66</v>
      </c>
      <c r="D24" t="s">
        <v>148</v>
      </c>
      <c r="E24" t="s">
        <v>149</v>
      </c>
      <c r="F24" t="s">
        <v>149</v>
      </c>
      <c r="G24" t="s">
        <v>65</v>
      </c>
      <c r="H24" t="s">
        <v>65</v>
      </c>
      <c r="I24" t="s">
        <v>65</v>
      </c>
      <c r="J24" s="23" t="s">
        <v>65</v>
      </c>
      <c r="K24" s="23" t="str">
        <f t="shared" si="0"/>
        <v>-</v>
      </c>
      <c r="L24" s="23"/>
      <c r="M24" s="23" t="s">
        <v>732</v>
      </c>
      <c r="N24" s="23"/>
    </row>
    <row r="25" spans="1:16" ht="14.5" x14ac:dyDescent="0.35">
      <c r="A25" s="20">
        <v>24</v>
      </c>
      <c r="B25" s="20">
        <v>1</v>
      </c>
      <c r="C25" t="s">
        <v>150</v>
      </c>
      <c r="D25" t="s">
        <v>151</v>
      </c>
      <c r="E25" t="s">
        <v>152</v>
      </c>
      <c r="F25" t="s">
        <v>153</v>
      </c>
      <c r="G25" t="s">
        <v>154</v>
      </c>
      <c r="H25" t="s">
        <v>65</v>
      </c>
      <c r="I25" t="s">
        <v>65</v>
      </c>
      <c r="J25" s="23" t="s">
        <v>65</v>
      </c>
      <c r="K25" s="23" t="str">
        <f t="shared" si="0"/>
        <v>-</v>
      </c>
      <c r="L25" s="23"/>
      <c r="M25" s="23"/>
      <c r="N25" s="23"/>
    </row>
    <row r="26" spans="1:16" ht="14.5" x14ac:dyDescent="0.35">
      <c r="A26" s="20">
        <v>25</v>
      </c>
      <c r="B26" s="20">
        <v>1</v>
      </c>
      <c r="C26" s="3" t="s">
        <v>62</v>
      </c>
      <c r="D26" s="3" t="s">
        <v>155</v>
      </c>
      <c r="E26" s="3" t="s">
        <v>156</v>
      </c>
      <c r="F26" s="3"/>
      <c r="G26" s="3" t="s">
        <v>65</v>
      </c>
      <c r="H26" s="3"/>
      <c r="I26" s="3" t="s">
        <v>65</v>
      </c>
      <c r="J26" s="25" t="s">
        <v>65</v>
      </c>
      <c r="K26" s="23" t="str">
        <f t="shared" si="0"/>
        <v>-</v>
      </c>
      <c r="L26" s="23"/>
      <c r="M26" s="23"/>
      <c r="N26" s="23"/>
    </row>
    <row r="27" spans="1:16" ht="14.5" x14ac:dyDescent="0.35">
      <c r="A27" s="20">
        <v>26</v>
      </c>
      <c r="B27" s="20">
        <v>1</v>
      </c>
      <c r="C27" t="s">
        <v>66</v>
      </c>
      <c r="D27" t="s">
        <v>157</v>
      </c>
      <c r="E27" s="6" t="s">
        <v>158</v>
      </c>
      <c r="F27" t="s">
        <v>159</v>
      </c>
      <c r="G27" t="s">
        <v>160</v>
      </c>
      <c r="H27" s="4" t="s">
        <v>161</v>
      </c>
      <c r="I27" s="4" t="s">
        <v>162</v>
      </c>
      <c r="J27" s="23" t="s">
        <v>65</v>
      </c>
      <c r="K27" s="23" t="str">
        <f>IF(I27="-", "-", LEFT(RIGHT(I27, LEN(I27)-FIND("SPC,", I27)-3), FIND(",", RIGHT(I27, LEN(I27)-FIND("SPC,", I27)-3))-1))</f>
        <v>DF_VITAL</v>
      </c>
      <c r="L27" s="23"/>
      <c r="M27" s="31" t="s">
        <v>733</v>
      </c>
      <c r="N27" s="31"/>
    </row>
    <row r="28" spans="1:16" ht="14.5" x14ac:dyDescent="0.35">
      <c r="A28" s="20">
        <v>27</v>
      </c>
      <c r="B28" s="20">
        <v>1</v>
      </c>
      <c r="C28" t="s">
        <v>66</v>
      </c>
      <c r="D28" t="s">
        <v>163</v>
      </c>
      <c r="E28" s="6" t="s">
        <v>164</v>
      </c>
      <c r="F28" t="s">
        <v>159</v>
      </c>
      <c r="G28" t="s">
        <v>160</v>
      </c>
      <c r="H28" s="4" t="s">
        <v>165</v>
      </c>
      <c r="I28" s="4" t="s">
        <v>166</v>
      </c>
      <c r="J28" s="23" t="s">
        <v>65</v>
      </c>
      <c r="K28" s="23" t="str">
        <f>IF(I28="-", "-", LEFT(RIGHT(I28, LEN(I28)-FIND("SPC,", I28)-3), FIND(",", RIGHT(I28, LEN(I28)-FIND("SPC,", I28)-3))-1))</f>
        <v>DF_VITAL</v>
      </c>
      <c r="L28" s="23"/>
      <c r="M28" s="31" t="s">
        <v>733</v>
      </c>
      <c r="N28" s="31"/>
    </row>
    <row r="29" spans="1:16" ht="14.5" x14ac:dyDescent="0.35">
      <c r="A29" s="20">
        <v>28</v>
      </c>
      <c r="B29" s="20">
        <v>1</v>
      </c>
      <c r="C29" t="s">
        <v>66</v>
      </c>
      <c r="D29" t="s">
        <v>167</v>
      </c>
      <c r="E29" t="s">
        <v>168</v>
      </c>
      <c r="F29" t="s">
        <v>168</v>
      </c>
      <c r="G29" t="s">
        <v>160</v>
      </c>
      <c r="H29" s="21" t="s">
        <v>169</v>
      </c>
      <c r="I29" s="21" t="s">
        <v>170</v>
      </c>
      <c r="J29" s="24" t="s">
        <v>65</v>
      </c>
      <c r="K29" s="24" t="str">
        <f>IF(I29="-", "-", LEFT(RIGHT(I29, LEN(I29)-FIND("SPC,", I29)-3), FIND(",", RIGHT(I29, LEN(I29)-FIND("SPC,", I29)-3))-1))</f>
        <v>DF_VITAL</v>
      </c>
      <c r="L29" s="23" t="s">
        <v>171</v>
      </c>
      <c r="M29" s="31" t="s">
        <v>733</v>
      </c>
      <c r="N29" s="31"/>
    </row>
    <row r="30" spans="1:16" ht="14.5" x14ac:dyDescent="0.35">
      <c r="A30" s="20">
        <v>29</v>
      </c>
      <c r="B30" s="20">
        <v>1</v>
      </c>
      <c r="C30" t="s">
        <v>66</v>
      </c>
      <c r="D30" t="s">
        <v>172</v>
      </c>
      <c r="E30" t="s">
        <v>173</v>
      </c>
      <c r="F30" t="s">
        <v>174</v>
      </c>
      <c r="G30" t="s">
        <v>160</v>
      </c>
      <c r="H30" s="4" t="s">
        <v>175</v>
      </c>
      <c r="I30" s="4" t="s">
        <v>176</v>
      </c>
      <c r="J30" s="23" t="s">
        <v>65</v>
      </c>
      <c r="K30" s="23" t="str">
        <f>IF(I30="-", "-", LEFT(RIGHT(I30, LEN(I30)-FIND("SPC,", I30)-3), FIND(",", RIGHT(I30, LEN(I30)-FIND("SPC,", I30)-3))-1))</f>
        <v>DF_SDG_03</v>
      </c>
      <c r="L30" s="23" t="s">
        <v>177</v>
      </c>
      <c r="M30" s="23"/>
      <c r="N30" s="23"/>
      <c r="P30">
        <v>1</v>
      </c>
    </row>
    <row r="31" spans="1:16" ht="14.5" x14ac:dyDescent="0.35">
      <c r="A31" s="20">
        <v>30</v>
      </c>
      <c r="B31" s="20">
        <v>1</v>
      </c>
      <c r="C31" t="s">
        <v>66</v>
      </c>
      <c r="D31" t="s">
        <v>178</v>
      </c>
      <c r="E31" t="s">
        <v>179</v>
      </c>
      <c r="F31" t="s">
        <v>180</v>
      </c>
      <c r="G31" t="s">
        <v>160</v>
      </c>
      <c r="H31" s="4" t="s">
        <v>181</v>
      </c>
      <c r="I31" s="4" t="s">
        <v>182</v>
      </c>
      <c r="J31" s="23" t="s">
        <v>65</v>
      </c>
      <c r="K31" s="23" t="str">
        <f>IF(I31="-", "-", LEFT(RIGHT(I31, LEN(I31)-FIND("SPC,", I31)-3), FIND(",", RIGHT(I31, LEN(I31)-FIND("SPC,", I31)-3))-1))</f>
        <v>DF_SDG_03</v>
      </c>
      <c r="L31" s="23" t="s">
        <v>183</v>
      </c>
      <c r="M31" s="23"/>
      <c r="N31" s="23"/>
      <c r="P31">
        <v>1</v>
      </c>
    </row>
    <row r="32" spans="1:16" ht="14.5" x14ac:dyDescent="0.35">
      <c r="A32" s="20">
        <v>31</v>
      </c>
      <c r="B32" s="20">
        <v>1</v>
      </c>
      <c r="C32" t="s">
        <v>66</v>
      </c>
      <c r="D32" t="s">
        <v>184</v>
      </c>
      <c r="E32" t="s">
        <v>185</v>
      </c>
      <c r="F32" t="s">
        <v>186</v>
      </c>
      <c r="G32" t="s">
        <v>160</v>
      </c>
      <c r="H32" s="4" t="s">
        <v>187</v>
      </c>
      <c r="I32" s="4" t="s">
        <v>188</v>
      </c>
      <c r="J32" s="23" t="s">
        <v>65</v>
      </c>
      <c r="K32" s="23" t="str">
        <f t="shared" si="0"/>
        <v>DF_SDG_03</v>
      </c>
      <c r="L32" s="23" t="s">
        <v>189</v>
      </c>
      <c r="M32" s="23"/>
      <c r="N32" s="23"/>
      <c r="P32">
        <v>1</v>
      </c>
    </row>
    <row r="33" spans="1:16" ht="14.5" x14ac:dyDescent="0.35">
      <c r="A33" s="20">
        <v>32</v>
      </c>
      <c r="B33" s="20">
        <v>1</v>
      </c>
      <c r="C33" t="s">
        <v>66</v>
      </c>
      <c r="D33" t="s">
        <v>190</v>
      </c>
      <c r="E33" t="s">
        <v>191</v>
      </c>
      <c r="F33" t="s">
        <v>192</v>
      </c>
      <c r="G33" t="s">
        <v>160</v>
      </c>
      <c r="H33" s="4" t="s">
        <v>193</v>
      </c>
      <c r="I33" s="4" t="s">
        <v>194</v>
      </c>
      <c r="J33" s="23" t="s">
        <v>65</v>
      </c>
      <c r="K33" s="23" t="str">
        <f>IF(I33="-", "-", LEFT(RIGHT(I33, LEN(I33)-FIND("SPC,", I33)-3), FIND(",", RIGHT(I33, LEN(I33)-FIND("SPC,", I33)-3))-1))</f>
        <v>DF_SDG_02</v>
      </c>
      <c r="L33" s="23" t="s">
        <v>183</v>
      </c>
      <c r="M33" s="23"/>
      <c r="N33" s="23"/>
    </row>
    <row r="34" spans="1:16" ht="14.5" x14ac:dyDescent="0.35">
      <c r="A34" s="20">
        <v>33</v>
      </c>
      <c r="B34" s="20">
        <v>1</v>
      </c>
      <c r="C34" t="s">
        <v>66</v>
      </c>
      <c r="D34" t="s">
        <v>195</v>
      </c>
      <c r="E34" t="s">
        <v>196</v>
      </c>
      <c r="F34" t="s">
        <v>197</v>
      </c>
      <c r="G34" t="s">
        <v>160</v>
      </c>
      <c r="H34" s="4" t="s">
        <v>198</v>
      </c>
      <c r="I34" s="4" t="s">
        <v>199</v>
      </c>
      <c r="J34" s="23" t="s">
        <v>65</v>
      </c>
      <c r="K34" s="23" t="str">
        <f>IF(I34="-", "-", LEFT(RIGHT(I34, LEN(I34)-FIND("SPC,", I34)-3), FIND(",", RIGHT(I34, LEN(I34)-FIND("SPC,", I34)-3))-1))</f>
        <v>DF_SDG_03</v>
      </c>
      <c r="L34" s="23" t="s">
        <v>183</v>
      </c>
      <c r="M34" s="23"/>
      <c r="N34" s="23"/>
      <c r="P34">
        <v>1</v>
      </c>
    </row>
    <row r="35" spans="1:16" ht="14.5" x14ac:dyDescent="0.35">
      <c r="A35" s="20">
        <v>34</v>
      </c>
      <c r="B35" s="20">
        <v>1</v>
      </c>
      <c r="C35" t="s">
        <v>66</v>
      </c>
      <c r="D35" t="s">
        <v>200</v>
      </c>
      <c r="E35" t="s">
        <v>201</v>
      </c>
      <c r="F35" t="s">
        <v>202</v>
      </c>
      <c r="G35" t="s">
        <v>160</v>
      </c>
      <c r="H35" s="4" t="s">
        <v>203</v>
      </c>
      <c r="I35" s="4" t="s">
        <v>204</v>
      </c>
      <c r="J35" s="23" t="s">
        <v>65</v>
      </c>
      <c r="K35" s="23" t="str">
        <f>IF(I35="-", "-", LEFT(RIGHT(I35, LEN(I35)-FIND("SPC,", I35)-3), FIND(",", RIGHT(I35, LEN(I35)-FIND("SPC,", I35)-3))-1))</f>
        <v>DF_NMDI_HEA</v>
      </c>
      <c r="L35" s="23" t="s">
        <v>72</v>
      </c>
      <c r="M35" s="31" t="s">
        <v>734</v>
      </c>
      <c r="N35" s="31"/>
    </row>
    <row r="36" spans="1:16" ht="14.5" x14ac:dyDescent="0.35">
      <c r="A36" s="20">
        <v>35</v>
      </c>
      <c r="B36" s="20">
        <v>1</v>
      </c>
      <c r="C36" t="s">
        <v>66</v>
      </c>
      <c r="D36" t="s">
        <v>205</v>
      </c>
      <c r="E36" t="s">
        <v>206</v>
      </c>
      <c r="F36" t="s">
        <v>207</v>
      </c>
      <c r="G36" t="s">
        <v>160</v>
      </c>
      <c r="H36" s="4" t="s">
        <v>208</v>
      </c>
      <c r="I36" s="4" t="s">
        <v>209</v>
      </c>
      <c r="J36" s="23" t="s">
        <v>65</v>
      </c>
      <c r="K36" s="23" t="str">
        <f>IF(I36="-", "-", LEFT(RIGHT(I36, LEN(I36)-FIND("SPC,", I36)-3), FIND(",", RIGHT(I36, LEN(I36)-FIND("SPC,", I36)-3))-1))</f>
        <v>DF_SDG_03</v>
      </c>
      <c r="L36" s="23" t="s">
        <v>183</v>
      </c>
      <c r="M36" s="23"/>
      <c r="N36" s="23"/>
      <c r="P36">
        <v>1</v>
      </c>
    </row>
    <row r="37" spans="1:16" ht="14.5" x14ac:dyDescent="0.35">
      <c r="A37" s="20">
        <v>36</v>
      </c>
      <c r="B37" s="20">
        <v>1</v>
      </c>
      <c r="C37" t="s">
        <v>66</v>
      </c>
      <c r="D37" t="s">
        <v>210</v>
      </c>
      <c r="E37" t="s">
        <v>211</v>
      </c>
      <c r="F37" t="s">
        <v>212</v>
      </c>
      <c r="G37" t="s">
        <v>160</v>
      </c>
      <c r="H37" s="4" t="s">
        <v>213</v>
      </c>
      <c r="I37" s="4" t="s">
        <v>214</v>
      </c>
      <c r="J37" s="23"/>
      <c r="K37" s="23" t="str">
        <f t="shared" ref="K37:K38" si="1">IF(I37="-", "-", LEFT(RIGHT(I37, LEN(I37)-FIND("SPC,", I37)-3), FIND(",", RIGHT(I37, LEN(I37)-FIND("SPC,", I37)-3))-1))</f>
        <v>DF_NMDI_HEA</v>
      </c>
      <c r="L37" s="23" t="s">
        <v>116</v>
      </c>
      <c r="M37" s="23"/>
      <c r="N37" s="23"/>
    </row>
    <row r="38" spans="1:16" ht="14.5" x14ac:dyDescent="0.35">
      <c r="A38" s="20">
        <v>37</v>
      </c>
      <c r="B38" s="20">
        <v>1</v>
      </c>
      <c r="C38" t="s">
        <v>66</v>
      </c>
      <c r="D38" t="s">
        <v>215</v>
      </c>
      <c r="E38" t="s">
        <v>216</v>
      </c>
      <c r="F38" t="s">
        <v>212</v>
      </c>
      <c r="G38" t="s">
        <v>160</v>
      </c>
      <c r="H38" s="4" t="s">
        <v>217</v>
      </c>
      <c r="I38" s="4" t="s">
        <v>218</v>
      </c>
      <c r="J38" s="23"/>
      <c r="K38" s="23" t="str">
        <f t="shared" si="1"/>
        <v>DF_NMDI_HEA</v>
      </c>
      <c r="L38" s="23" t="s">
        <v>116</v>
      </c>
      <c r="M38" s="23"/>
      <c r="N38" s="23"/>
    </row>
    <row r="39" spans="1:16" ht="14.5" x14ac:dyDescent="0.35">
      <c r="A39" s="20">
        <v>38</v>
      </c>
      <c r="B39" s="20">
        <v>1</v>
      </c>
      <c r="C39" t="s">
        <v>66</v>
      </c>
      <c r="D39" t="s">
        <v>219</v>
      </c>
      <c r="E39" t="s">
        <v>220</v>
      </c>
      <c r="F39" t="s">
        <v>212</v>
      </c>
      <c r="G39" t="s">
        <v>160</v>
      </c>
      <c r="H39" s="4" t="s">
        <v>221</v>
      </c>
      <c r="I39" s="4" t="s">
        <v>222</v>
      </c>
      <c r="J39" s="23" t="s">
        <v>65</v>
      </c>
      <c r="K39" s="23" t="str">
        <f>IF(I39="-", "-", LEFT(RIGHT(I39, LEN(I39)-FIND("SPC,", I39)-3), FIND(",", RIGHT(I39, LEN(I39)-FIND("SPC,", I39)-3))-1))</f>
        <v>DF_NMDI_HEA</v>
      </c>
      <c r="L39" s="23" t="s">
        <v>116</v>
      </c>
      <c r="M39" s="23"/>
      <c r="N39" s="23"/>
    </row>
    <row r="40" spans="1:16" ht="14.5" x14ac:dyDescent="0.35">
      <c r="A40" s="20">
        <v>39</v>
      </c>
      <c r="B40" s="20">
        <v>1</v>
      </c>
      <c r="C40" t="s">
        <v>66</v>
      </c>
      <c r="D40" t="s">
        <v>223</v>
      </c>
      <c r="E40" t="s">
        <v>735</v>
      </c>
      <c r="F40" t="s">
        <v>224</v>
      </c>
      <c r="G40" t="s">
        <v>160</v>
      </c>
      <c r="H40" s="4" t="s">
        <v>736</v>
      </c>
      <c r="I40" s="4" t="s">
        <v>737</v>
      </c>
      <c r="J40" s="23" t="s">
        <v>65</v>
      </c>
      <c r="K40" s="23" t="str">
        <f t="shared" si="0"/>
        <v>DF_SDG_03</v>
      </c>
      <c r="L40" s="23"/>
      <c r="M40" s="32" t="s">
        <v>738</v>
      </c>
      <c r="N40" s="32"/>
      <c r="P40">
        <v>1</v>
      </c>
    </row>
    <row r="41" spans="1:16" ht="14.5" x14ac:dyDescent="0.35">
      <c r="A41" s="20">
        <v>40</v>
      </c>
      <c r="B41" s="20">
        <v>1</v>
      </c>
      <c r="C41" t="s">
        <v>66</v>
      </c>
      <c r="D41" t="s">
        <v>227</v>
      </c>
      <c r="E41" t="s">
        <v>228</v>
      </c>
      <c r="F41" t="s">
        <v>229</v>
      </c>
      <c r="G41" t="s">
        <v>160</v>
      </c>
      <c r="H41" s="4" t="s">
        <v>230</v>
      </c>
      <c r="I41" s="4" t="s">
        <v>231</v>
      </c>
      <c r="J41" s="23" t="s">
        <v>65</v>
      </c>
      <c r="K41" s="23" t="str">
        <f>IF(I41="-", "-", LEFT(RIGHT(I41, LEN(I41)-FIND("SPC,", I41)-3), FIND(",", RIGHT(I41, LEN(I41)-FIND("SPC,", I41)-3))-1))</f>
        <v>DF_NMDI_HEA</v>
      </c>
      <c r="L41" s="23"/>
      <c r="M41" s="23"/>
      <c r="N41" s="23"/>
    </row>
    <row r="42" spans="1:16" ht="14.5" x14ac:dyDescent="0.35">
      <c r="A42" s="20">
        <v>41</v>
      </c>
      <c r="B42" s="20">
        <v>1</v>
      </c>
      <c r="C42" t="s">
        <v>66</v>
      </c>
      <c r="D42" t="s">
        <v>232</v>
      </c>
      <c r="E42" t="s">
        <v>233</v>
      </c>
      <c r="F42" t="s">
        <v>234</v>
      </c>
      <c r="G42" t="s">
        <v>160</v>
      </c>
      <c r="H42" s="4" t="s">
        <v>235</v>
      </c>
      <c r="I42" s="4" t="s">
        <v>236</v>
      </c>
      <c r="J42" s="23" t="s">
        <v>65</v>
      </c>
      <c r="K42" s="23" t="str">
        <f>IF(I42="-", "-", LEFT(RIGHT(I42, LEN(I42)-FIND("SPC,", I42)-3), FIND(",", RIGHT(I42, LEN(I42)-FIND("SPC,", I42)-3))-1))</f>
        <v>DF_SDG_03</v>
      </c>
      <c r="L42" s="23" t="s">
        <v>177</v>
      </c>
      <c r="M42" s="23"/>
      <c r="N42" s="23"/>
      <c r="P42">
        <v>1</v>
      </c>
    </row>
    <row r="43" spans="1:16" ht="14.5" x14ac:dyDescent="0.35">
      <c r="A43" s="20">
        <v>42</v>
      </c>
      <c r="B43" s="20">
        <v>1</v>
      </c>
      <c r="C43" t="s">
        <v>66</v>
      </c>
      <c r="D43" t="s">
        <v>237</v>
      </c>
      <c r="E43" t="s">
        <v>238</v>
      </c>
      <c r="F43" t="s">
        <v>239</v>
      </c>
      <c r="G43" t="s">
        <v>160</v>
      </c>
      <c r="H43" s="4" t="s">
        <v>240</v>
      </c>
      <c r="I43" s="4" t="s">
        <v>241</v>
      </c>
      <c r="J43" s="23" t="s">
        <v>65</v>
      </c>
      <c r="K43" s="23" t="str">
        <f>IF(I43="-", "-", LEFT(RIGHT(I43, LEN(I43)-FIND("SPC,", I43)-3), FIND(",", RIGHT(I43, LEN(I43)-FIND("SPC,", I43)-3))-1))</f>
        <v>DF_SDG_03</v>
      </c>
      <c r="L43" s="23" t="s">
        <v>183</v>
      </c>
      <c r="M43" s="23"/>
      <c r="N43" s="23"/>
      <c r="P43">
        <v>1</v>
      </c>
    </row>
    <row r="44" spans="1:16" ht="14.5" x14ac:dyDescent="0.35">
      <c r="A44" s="20">
        <v>43</v>
      </c>
      <c r="B44" s="20">
        <v>1</v>
      </c>
      <c r="C44" t="s">
        <v>66</v>
      </c>
      <c r="D44" t="s">
        <v>242</v>
      </c>
      <c r="E44" t="s">
        <v>243</v>
      </c>
      <c r="F44" t="s">
        <v>244</v>
      </c>
      <c r="G44" t="s">
        <v>160</v>
      </c>
      <c r="H44" s="4" t="s">
        <v>245</v>
      </c>
      <c r="I44" s="4" t="s">
        <v>246</v>
      </c>
      <c r="J44" s="23" t="s">
        <v>65</v>
      </c>
      <c r="K44" s="23" t="str">
        <f t="shared" si="0"/>
        <v>DF_SDG_03</v>
      </c>
      <c r="L44" s="23" t="s">
        <v>183</v>
      </c>
      <c r="M44" s="23"/>
      <c r="N44" s="23"/>
      <c r="P44">
        <v>1</v>
      </c>
    </row>
    <row r="45" spans="1:16" ht="14.5" x14ac:dyDescent="0.35">
      <c r="A45" s="20">
        <v>44</v>
      </c>
      <c r="B45" s="20">
        <v>1</v>
      </c>
      <c r="C45" t="s">
        <v>66</v>
      </c>
      <c r="D45" t="s">
        <v>247</v>
      </c>
      <c r="E45" t="s">
        <v>248</v>
      </c>
      <c r="F45" t="s">
        <v>249</v>
      </c>
      <c r="G45" t="s">
        <v>160</v>
      </c>
      <c r="H45" s="4" t="s">
        <v>250</v>
      </c>
      <c r="I45" s="4" t="s">
        <v>251</v>
      </c>
      <c r="J45" s="23"/>
      <c r="K45" s="23" t="str">
        <f t="shared" si="0"/>
        <v>DF_SDG_03</v>
      </c>
      <c r="L45" s="23" t="s">
        <v>252</v>
      </c>
      <c r="M45" s="23"/>
      <c r="N45" s="23"/>
      <c r="P45">
        <v>1</v>
      </c>
    </row>
    <row r="46" spans="1:16" ht="14.5" x14ac:dyDescent="0.35">
      <c r="A46" s="20">
        <v>45</v>
      </c>
      <c r="B46" s="20">
        <v>1</v>
      </c>
      <c r="C46" t="s">
        <v>66</v>
      </c>
      <c r="D46" t="s">
        <v>253</v>
      </c>
      <c r="E46" t="s">
        <v>254</v>
      </c>
      <c r="F46" t="s">
        <v>249</v>
      </c>
      <c r="G46" t="s">
        <v>160</v>
      </c>
      <c r="H46" s="4" t="s">
        <v>255</v>
      </c>
      <c r="I46" s="4" t="s">
        <v>256</v>
      </c>
      <c r="J46" s="23"/>
      <c r="K46" s="23" t="str">
        <f t="shared" si="0"/>
        <v>DF_SDG_03</v>
      </c>
      <c r="L46" s="23" t="s">
        <v>252</v>
      </c>
      <c r="M46" s="23"/>
      <c r="N46" s="23"/>
      <c r="P46">
        <v>1</v>
      </c>
    </row>
    <row r="47" spans="1:16" ht="14.5" x14ac:dyDescent="0.35">
      <c r="A47" s="20">
        <v>46</v>
      </c>
      <c r="B47" s="20">
        <v>1</v>
      </c>
      <c r="C47" t="s">
        <v>66</v>
      </c>
      <c r="D47" t="s">
        <v>257</v>
      </c>
      <c r="E47" t="s">
        <v>258</v>
      </c>
      <c r="F47" t="s">
        <v>249</v>
      </c>
      <c r="G47" t="s">
        <v>160</v>
      </c>
      <c r="H47" s="4" t="s">
        <v>259</v>
      </c>
      <c r="I47" s="4" t="s">
        <v>260</v>
      </c>
      <c r="J47" s="23"/>
      <c r="K47" s="23" t="str">
        <f t="shared" si="0"/>
        <v>DF_SDG_03</v>
      </c>
      <c r="L47" s="23" t="s">
        <v>252</v>
      </c>
      <c r="M47" s="23"/>
      <c r="N47" s="23"/>
      <c r="P47">
        <v>1</v>
      </c>
    </row>
    <row r="48" spans="1:16" ht="14.5" x14ac:dyDescent="0.35">
      <c r="A48" s="20">
        <v>47</v>
      </c>
      <c r="B48" s="20">
        <v>1</v>
      </c>
      <c r="C48" t="s">
        <v>66</v>
      </c>
      <c r="D48" t="s">
        <v>261</v>
      </c>
      <c r="E48" t="s">
        <v>262</v>
      </c>
      <c r="F48" t="s">
        <v>263</v>
      </c>
      <c r="G48" t="s">
        <v>160</v>
      </c>
      <c r="H48" s="4" t="s">
        <v>264</v>
      </c>
      <c r="I48" s="4" t="s">
        <v>265</v>
      </c>
      <c r="J48" s="23" t="s">
        <v>65</v>
      </c>
      <c r="K48" s="23" t="str">
        <f>IF(I48="-", "-", LEFT(RIGHT(I48, LEN(I48)-FIND("SPC,", I48)-3), FIND(",", RIGHT(I48, LEN(I48)-FIND("SPC,", I48)-3))-1))</f>
        <v>DF_SDG_03</v>
      </c>
      <c r="L48" s="23" t="s">
        <v>183</v>
      </c>
      <c r="M48" s="23"/>
      <c r="N48" s="23"/>
      <c r="P48">
        <v>1</v>
      </c>
    </row>
    <row r="49" spans="1:16" ht="14.5" x14ac:dyDescent="0.35">
      <c r="A49" s="20">
        <v>48</v>
      </c>
      <c r="B49" s="20">
        <v>0</v>
      </c>
      <c r="C49" t="s">
        <v>66</v>
      </c>
      <c r="D49" t="s">
        <v>266</v>
      </c>
      <c r="E49" t="s">
        <v>739</v>
      </c>
      <c r="F49" t="s">
        <v>267</v>
      </c>
      <c r="G49" t="s">
        <v>160</v>
      </c>
      <c r="H49" s="4" t="s">
        <v>740</v>
      </c>
      <c r="I49" s="4" t="s">
        <v>741</v>
      </c>
      <c r="J49" s="23" t="s">
        <v>65</v>
      </c>
      <c r="K49" s="23" t="str">
        <f t="shared" si="0"/>
        <v>DF_BP50</v>
      </c>
      <c r="L49" s="23"/>
      <c r="M49" s="31" t="s">
        <v>742</v>
      </c>
      <c r="N49" s="31"/>
      <c r="O49" s="23"/>
      <c r="P49" s="4">
        <v>1</v>
      </c>
    </row>
    <row r="50" spans="1:16" ht="14.5" x14ac:dyDescent="0.35">
      <c r="A50" s="20"/>
      <c r="B50" s="20">
        <v>0</v>
      </c>
      <c r="C50" t="s">
        <v>66</v>
      </c>
      <c r="D50" t="s">
        <v>743</v>
      </c>
      <c r="H50" t="s">
        <v>65</v>
      </c>
      <c r="I50" t="s">
        <v>65</v>
      </c>
      <c r="J50" s="23" t="s">
        <v>65</v>
      </c>
      <c r="K50" s="23" t="str">
        <f t="shared" si="0"/>
        <v>-</v>
      </c>
      <c r="L50" s="23"/>
      <c r="M50" s="31" t="s">
        <v>744</v>
      </c>
      <c r="N50" s="31"/>
      <c r="O50" s="23"/>
      <c r="P50" s="4"/>
    </row>
    <row r="51" spans="1:16" ht="14.5" x14ac:dyDescent="0.35">
      <c r="A51" s="20"/>
      <c r="B51" s="20">
        <v>0</v>
      </c>
      <c r="C51" t="s">
        <v>66</v>
      </c>
      <c r="D51" t="s">
        <v>745</v>
      </c>
      <c r="H51" t="s">
        <v>65</v>
      </c>
      <c r="I51" t="s">
        <v>65</v>
      </c>
      <c r="J51" s="23" t="s">
        <v>65</v>
      </c>
      <c r="K51" s="23" t="str">
        <f t="shared" si="0"/>
        <v>-</v>
      </c>
      <c r="L51" s="23"/>
      <c r="M51" s="31"/>
      <c r="N51" s="31"/>
      <c r="O51" s="23"/>
      <c r="P51" s="4"/>
    </row>
    <row r="52" spans="1:16" ht="14.5" x14ac:dyDescent="0.35">
      <c r="A52" s="20">
        <v>49</v>
      </c>
      <c r="B52" s="20">
        <v>1</v>
      </c>
      <c r="C52" s="3" t="s">
        <v>62</v>
      </c>
      <c r="D52" s="3" t="s">
        <v>268</v>
      </c>
      <c r="E52" s="3" t="s">
        <v>269</v>
      </c>
      <c r="F52" s="3"/>
      <c r="G52" s="3" t="s">
        <v>65</v>
      </c>
      <c r="H52" s="3"/>
      <c r="I52" s="3" t="s">
        <v>65</v>
      </c>
      <c r="J52" s="25" t="s">
        <v>65</v>
      </c>
      <c r="K52" s="23" t="str">
        <f t="shared" si="0"/>
        <v>-</v>
      </c>
      <c r="L52" s="23"/>
      <c r="M52" s="23"/>
      <c r="N52" s="23"/>
    </row>
    <row r="53" spans="1:16" ht="14.5" x14ac:dyDescent="0.35">
      <c r="A53" s="20">
        <v>50</v>
      </c>
      <c r="B53" s="20">
        <v>1</v>
      </c>
      <c r="C53" t="s">
        <v>66</v>
      </c>
      <c r="D53" t="s">
        <v>270</v>
      </c>
      <c r="E53" t="s">
        <v>271</v>
      </c>
      <c r="F53" t="s">
        <v>272</v>
      </c>
      <c r="G53" t="s">
        <v>160</v>
      </c>
      <c r="H53" s="4" t="s">
        <v>273</v>
      </c>
      <c r="I53" s="4" t="s">
        <v>274</v>
      </c>
      <c r="J53" s="23" t="s">
        <v>65</v>
      </c>
      <c r="K53" s="23" t="str">
        <f t="shared" si="0"/>
        <v>DF_NMDI_EDU</v>
      </c>
      <c r="L53" s="23"/>
      <c r="M53" s="23"/>
      <c r="N53" s="23"/>
    </row>
    <row r="54" spans="1:16" ht="14.5" x14ac:dyDescent="0.35">
      <c r="A54" s="20">
        <v>51</v>
      </c>
      <c r="B54" s="20">
        <v>1</v>
      </c>
      <c r="C54" t="s">
        <v>66</v>
      </c>
      <c r="D54" t="s">
        <v>275</v>
      </c>
      <c r="E54" t="s">
        <v>276</v>
      </c>
      <c r="F54" t="s">
        <v>276</v>
      </c>
      <c r="G54" t="s">
        <v>160</v>
      </c>
      <c r="H54" s="4" t="s">
        <v>277</v>
      </c>
      <c r="I54" s="4" t="s">
        <v>278</v>
      </c>
      <c r="J54" s="23" t="s">
        <v>65</v>
      </c>
      <c r="K54" s="23" t="str">
        <f t="shared" si="0"/>
        <v>DF_NMDI_EDU</v>
      </c>
      <c r="L54" s="23"/>
      <c r="M54" s="23"/>
      <c r="N54" s="23"/>
    </row>
    <row r="55" spans="1:16" ht="14.5" x14ac:dyDescent="0.35">
      <c r="A55" s="20">
        <v>52</v>
      </c>
      <c r="B55" s="20">
        <v>1</v>
      </c>
      <c r="C55" t="s">
        <v>66</v>
      </c>
      <c r="D55" t="s">
        <v>279</v>
      </c>
      <c r="E55" t="s">
        <v>280</v>
      </c>
      <c r="F55" t="s">
        <v>281</v>
      </c>
      <c r="G55" t="s">
        <v>160</v>
      </c>
      <c r="H55" s="4" t="s">
        <v>282</v>
      </c>
      <c r="I55" s="4" t="s">
        <v>283</v>
      </c>
      <c r="J55" s="23" t="s">
        <v>65</v>
      </c>
      <c r="K55" s="23" t="str">
        <f t="shared" si="0"/>
        <v>DF_SDG_04</v>
      </c>
      <c r="L55" s="23" t="s">
        <v>183</v>
      </c>
      <c r="M55" s="23"/>
      <c r="N55" s="23"/>
    </row>
    <row r="56" spans="1:16" ht="14.5" x14ac:dyDescent="0.35">
      <c r="A56" s="20">
        <v>53</v>
      </c>
      <c r="B56" s="20">
        <v>1</v>
      </c>
      <c r="C56" t="s">
        <v>66</v>
      </c>
      <c r="D56" t="s">
        <v>284</v>
      </c>
      <c r="E56" t="s">
        <v>285</v>
      </c>
      <c r="F56" t="s">
        <v>286</v>
      </c>
      <c r="G56" t="s">
        <v>160</v>
      </c>
      <c r="H56" s="4" t="s">
        <v>287</v>
      </c>
      <c r="I56" s="4" t="s">
        <v>288</v>
      </c>
      <c r="J56" s="23" t="s">
        <v>65</v>
      </c>
      <c r="K56" s="23" t="str">
        <f t="shared" si="0"/>
        <v>DF_SDG_04</v>
      </c>
      <c r="L56" s="23" t="s">
        <v>183</v>
      </c>
      <c r="M56" s="23"/>
      <c r="N56" s="23"/>
    </row>
    <row r="57" spans="1:16" ht="14.5" x14ac:dyDescent="0.35">
      <c r="A57" s="20">
        <v>54</v>
      </c>
      <c r="B57" s="20">
        <v>1</v>
      </c>
      <c r="C57" t="s">
        <v>66</v>
      </c>
      <c r="D57" t="s">
        <v>289</v>
      </c>
      <c r="E57" t="s">
        <v>290</v>
      </c>
      <c r="F57" t="s">
        <v>291</v>
      </c>
      <c r="G57" t="s">
        <v>160</v>
      </c>
      <c r="H57" s="4" t="s">
        <v>292</v>
      </c>
      <c r="I57" s="4" t="s">
        <v>293</v>
      </c>
      <c r="J57" s="23" t="s">
        <v>65</v>
      </c>
      <c r="K57" s="23" t="str">
        <f>IF(I57="-", "-", LEFT(RIGHT(I57, LEN(I57)-FIND("SPC,", I57)-3), FIND(",", RIGHT(I57, LEN(I57)-FIND("SPC,", I57)-3))-1))</f>
        <v>DF_NMDI_EDU</v>
      </c>
      <c r="L57" s="23" t="s">
        <v>116</v>
      </c>
      <c r="M57" s="23"/>
      <c r="N57" s="23"/>
    </row>
    <row r="58" spans="1:16" ht="14.5" x14ac:dyDescent="0.35">
      <c r="A58" s="30">
        <v>55</v>
      </c>
      <c r="B58" s="20">
        <v>0</v>
      </c>
      <c r="C58" t="s">
        <v>66</v>
      </c>
      <c r="D58" t="s">
        <v>294</v>
      </c>
      <c r="E58" s="27" t="s">
        <v>746</v>
      </c>
      <c r="F58" t="s">
        <v>296</v>
      </c>
      <c r="G58" t="s">
        <v>160</v>
      </c>
      <c r="H58" s="4" t="s">
        <v>747</v>
      </c>
      <c r="I58" s="4" t="s">
        <v>748</v>
      </c>
      <c r="J58" s="23" t="s">
        <v>65</v>
      </c>
      <c r="K58" s="23" t="str">
        <f>IF(I58="-", "-", LEFT(RIGHT(I58, LEN(I58)-FIND("SPC,", I58)-3), FIND(",", RIGHT(I58, LEN(I58)-FIND("SPC,", I58)-3))-1))</f>
        <v>DF_EDUCATION</v>
      </c>
      <c r="L58" s="23" t="s">
        <v>116</v>
      </c>
      <c r="M58" s="33" t="s">
        <v>749</v>
      </c>
      <c r="N58" s="33"/>
      <c r="O58" s="4" t="s">
        <v>747</v>
      </c>
    </row>
    <row r="59" spans="1:16" ht="14.5" x14ac:dyDescent="0.35">
      <c r="A59" s="30">
        <v>56</v>
      </c>
      <c r="B59" s="20">
        <v>0</v>
      </c>
      <c r="C59" t="s">
        <v>66</v>
      </c>
      <c r="D59" t="s">
        <v>298</v>
      </c>
      <c r="E59" s="27" t="s">
        <v>750</v>
      </c>
      <c r="F59" t="s">
        <v>296</v>
      </c>
      <c r="G59" t="s">
        <v>160</v>
      </c>
      <c r="H59" s="4" t="s">
        <v>751</v>
      </c>
      <c r="I59" s="4" t="s">
        <v>752</v>
      </c>
      <c r="J59" s="23" t="s">
        <v>65</v>
      </c>
      <c r="K59" s="23" t="str">
        <f>IF(I59="-", "-", LEFT(RIGHT(I59, LEN(I59)-FIND("SPC,", I59)-3), FIND(",", RIGHT(I59, LEN(I59)-FIND("SPC,", I59)-3))-1))</f>
        <v>DF_EDUCATION</v>
      </c>
      <c r="L59" s="23"/>
      <c r="M59" s="33" t="s">
        <v>749</v>
      </c>
      <c r="N59" s="33"/>
      <c r="O59" s="4" t="s">
        <v>751</v>
      </c>
    </row>
    <row r="60" spans="1:16" ht="14.5" x14ac:dyDescent="0.35">
      <c r="A60" s="20">
        <v>57</v>
      </c>
      <c r="B60" s="20">
        <v>1</v>
      </c>
      <c r="C60" t="s">
        <v>66</v>
      </c>
      <c r="D60" t="s">
        <v>303</v>
      </c>
      <c r="E60" t="s">
        <v>299</v>
      </c>
      <c r="F60" t="s">
        <v>300</v>
      </c>
      <c r="G60" t="s">
        <v>160</v>
      </c>
      <c r="H60" s="4" t="s">
        <v>301</v>
      </c>
      <c r="I60" s="4" t="s">
        <v>302</v>
      </c>
      <c r="J60" s="23" t="s">
        <v>65</v>
      </c>
      <c r="K60" s="23" t="str">
        <f t="shared" si="0"/>
        <v>DF_NMDI_EDU</v>
      </c>
      <c r="L60" s="23" t="s">
        <v>72</v>
      </c>
      <c r="M60" s="23"/>
      <c r="N60" s="23"/>
    </row>
    <row r="61" spans="1:16" ht="14.5" x14ac:dyDescent="0.35">
      <c r="A61" s="20">
        <v>58</v>
      </c>
      <c r="B61" s="20">
        <v>1</v>
      </c>
      <c r="C61" t="s">
        <v>66</v>
      </c>
      <c r="D61" t="s">
        <v>307</v>
      </c>
      <c r="E61" t="s">
        <v>304</v>
      </c>
      <c r="F61" t="s">
        <v>300</v>
      </c>
      <c r="G61" t="s">
        <v>160</v>
      </c>
      <c r="H61" s="4" t="s">
        <v>305</v>
      </c>
      <c r="I61" s="4" t="s">
        <v>306</v>
      </c>
      <c r="J61" s="23" t="s">
        <v>65</v>
      </c>
      <c r="K61" s="23" t="str">
        <f t="shared" si="0"/>
        <v>DF_NMDI_EDU</v>
      </c>
      <c r="L61" s="23" t="s">
        <v>116</v>
      </c>
      <c r="M61" s="23"/>
      <c r="N61" s="23"/>
    </row>
    <row r="62" spans="1:16" ht="14.5" x14ac:dyDescent="0.35">
      <c r="A62" s="20">
        <v>59</v>
      </c>
      <c r="B62" s="20">
        <v>1</v>
      </c>
      <c r="C62" t="s">
        <v>66</v>
      </c>
      <c r="D62" t="s">
        <v>311</v>
      </c>
      <c r="E62" t="s">
        <v>308</v>
      </c>
      <c r="F62" t="s">
        <v>300</v>
      </c>
      <c r="G62" t="s">
        <v>160</v>
      </c>
      <c r="H62" s="4" t="s">
        <v>309</v>
      </c>
      <c r="I62" s="4" t="s">
        <v>310</v>
      </c>
      <c r="J62" s="23" t="s">
        <v>65</v>
      </c>
      <c r="K62" s="23" t="str">
        <f t="shared" si="0"/>
        <v>DF_NMDI_EDU</v>
      </c>
      <c r="L62" s="23" t="s">
        <v>116</v>
      </c>
      <c r="M62" s="23"/>
      <c r="N62" s="23"/>
    </row>
    <row r="63" spans="1:16" ht="14.5" x14ac:dyDescent="0.35">
      <c r="A63" s="20">
        <v>60</v>
      </c>
      <c r="B63" s="20">
        <v>1</v>
      </c>
      <c r="C63" t="s">
        <v>66</v>
      </c>
      <c r="D63" t="s">
        <v>315</v>
      </c>
      <c r="E63" t="s">
        <v>312</v>
      </c>
      <c r="F63" t="s">
        <v>300</v>
      </c>
      <c r="G63" t="s">
        <v>160</v>
      </c>
      <c r="H63" s="4" t="s">
        <v>313</v>
      </c>
      <c r="I63" s="4" t="s">
        <v>314</v>
      </c>
      <c r="J63" s="23" t="s">
        <v>65</v>
      </c>
      <c r="K63" s="23" t="str">
        <f t="shared" si="0"/>
        <v>DF_NMDI_EDU</v>
      </c>
      <c r="L63" s="23" t="s">
        <v>116</v>
      </c>
      <c r="M63" s="23"/>
      <c r="N63" s="23"/>
    </row>
    <row r="64" spans="1:16" ht="14.5" x14ac:dyDescent="0.35">
      <c r="A64" s="20">
        <v>61</v>
      </c>
      <c r="B64" s="20">
        <v>1</v>
      </c>
      <c r="C64" t="s">
        <v>66</v>
      </c>
      <c r="D64" t="s">
        <v>319</v>
      </c>
      <c r="E64" t="s">
        <v>316</v>
      </c>
      <c r="F64" t="s">
        <v>300</v>
      </c>
      <c r="G64" t="s">
        <v>160</v>
      </c>
      <c r="H64" s="4" t="s">
        <v>317</v>
      </c>
      <c r="I64" s="4" t="s">
        <v>318</v>
      </c>
      <c r="J64" s="23" t="s">
        <v>65</v>
      </c>
      <c r="K64" s="23" t="str">
        <f>IF(I63="-", "-", LEFT(RIGHT(I64, LEN(I64)-FIND("SPC,", I64)-3), FIND(",", RIGHT(I64, LEN(I64)-FIND("SPC,", I64)-3))-1))</f>
        <v>DF_NMDI_EDU</v>
      </c>
      <c r="L64" s="23" t="s">
        <v>116</v>
      </c>
      <c r="M64" s="23"/>
      <c r="N64" s="23"/>
    </row>
    <row r="65" spans="1:16" ht="14.5" x14ac:dyDescent="0.35">
      <c r="A65" s="20">
        <v>62</v>
      </c>
      <c r="B65" s="20">
        <v>1</v>
      </c>
      <c r="C65" t="s">
        <v>66</v>
      </c>
      <c r="D65" t="s">
        <v>324</v>
      </c>
      <c r="E65" t="s">
        <v>320</v>
      </c>
      <c r="F65" t="s">
        <v>321</v>
      </c>
      <c r="G65" t="s">
        <v>160</v>
      </c>
      <c r="H65" s="4" t="s">
        <v>322</v>
      </c>
      <c r="I65" s="4" t="s">
        <v>323</v>
      </c>
      <c r="J65" s="23" t="s">
        <v>65</v>
      </c>
      <c r="K65" s="23" t="str">
        <f t="shared" si="0"/>
        <v>DF_UIS</v>
      </c>
      <c r="L65" s="23" t="s">
        <v>116</v>
      </c>
      <c r="M65" s="23"/>
      <c r="N65" s="23"/>
    </row>
    <row r="66" spans="1:16" ht="14.5" x14ac:dyDescent="0.35">
      <c r="A66" s="20">
        <v>63</v>
      </c>
      <c r="B66" s="20">
        <v>1</v>
      </c>
      <c r="C66" t="s">
        <v>66</v>
      </c>
      <c r="D66" t="s">
        <v>328</v>
      </c>
      <c r="E66" t="s">
        <v>325</v>
      </c>
      <c r="F66" t="s">
        <v>321</v>
      </c>
      <c r="G66" t="s">
        <v>160</v>
      </c>
      <c r="H66" s="4" t="s">
        <v>326</v>
      </c>
      <c r="I66" s="4" t="s">
        <v>327</v>
      </c>
      <c r="J66" s="23" t="s">
        <v>65</v>
      </c>
      <c r="K66" s="23" t="str">
        <f t="shared" si="0"/>
        <v>DF_UIS</v>
      </c>
      <c r="L66" s="23" t="s">
        <v>116</v>
      </c>
      <c r="M66" s="23"/>
      <c r="N66" s="23"/>
    </row>
    <row r="67" spans="1:16" ht="14.5" x14ac:dyDescent="0.35">
      <c r="A67" s="20">
        <v>64</v>
      </c>
      <c r="B67" s="20">
        <v>1</v>
      </c>
      <c r="C67" t="s">
        <v>66</v>
      </c>
      <c r="D67" t="s">
        <v>332</v>
      </c>
      <c r="E67" t="s">
        <v>329</v>
      </c>
      <c r="F67" t="s">
        <v>321</v>
      </c>
      <c r="G67" t="s">
        <v>160</v>
      </c>
      <c r="H67" s="4" t="s">
        <v>330</v>
      </c>
      <c r="I67" s="4" t="s">
        <v>331</v>
      </c>
      <c r="J67" s="23" t="s">
        <v>65</v>
      </c>
      <c r="K67" s="23" t="str">
        <f t="shared" si="0"/>
        <v>DF_UIS</v>
      </c>
      <c r="L67" s="23" t="s">
        <v>116</v>
      </c>
      <c r="M67" s="23"/>
      <c r="N67" s="23"/>
    </row>
    <row r="68" spans="1:16" ht="14.5" x14ac:dyDescent="0.35">
      <c r="A68" s="20">
        <v>65</v>
      </c>
      <c r="B68" s="20">
        <v>1</v>
      </c>
      <c r="C68" t="s">
        <v>66</v>
      </c>
      <c r="D68" t="s">
        <v>337</v>
      </c>
      <c r="E68" t="s">
        <v>333</v>
      </c>
      <c r="F68" t="s">
        <v>334</v>
      </c>
      <c r="G68" t="s">
        <v>160</v>
      </c>
      <c r="H68" s="4" t="s">
        <v>335</v>
      </c>
      <c r="I68" s="4" t="s">
        <v>336</v>
      </c>
      <c r="J68" s="23"/>
      <c r="K68" s="23" t="str">
        <f t="shared" si="0"/>
        <v>DF_SDG_04</v>
      </c>
      <c r="L68" s="23" t="s">
        <v>252</v>
      </c>
      <c r="M68" s="23"/>
      <c r="N68" s="23"/>
      <c r="P68">
        <v>1</v>
      </c>
    </row>
    <row r="69" spans="1:16" ht="14.5" x14ac:dyDescent="0.35">
      <c r="A69" s="20">
        <v>66</v>
      </c>
      <c r="B69" s="20">
        <v>1</v>
      </c>
      <c r="C69" t="s">
        <v>66</v>
      </c>
      <c r="D69" t="s">
        <v>341</v>
      </c>
      <c r="E69" t="s">
        <v>338</v>
      </c>
      <c r="F69" t="s">
        <v>334</v>
      </c>
      <c r="G69" t="s">
        <v>160</v>
      </c>
      <c r="H69" s="4" t="s">
        <v>339</v>
      </c>
      <c r="I69" s="4" t="s">
        <v>340</v>
      </c>
      <c r="J69" s="23"/>
      <c r="K69" s="23" t="str">
        <f t="shared" si="0"/>
        <v>DF_SDG_04</v>
      </c>
      <c r="L69" s="23" t="s">
        <v>252</v>
      </c>
      <c r="M69" s="23"/>
      <c r="N69" s="23"/>
      <c r="P69">
        <v>1</v>
      </c>
    </row>
    <row r="70" spans="1:16" ht="14.5" x14ac:dyDescent="0.35">
      <c r="A70" s="20">
        <v>67</v>
      </c>
      <c r="B70" s="20">
        <v>1</v>
      </c>
      <c r="C70" t="s">
        <v>66</v>
      </c>
      <c r="D70" t="s">
        <v>345</v>
      </c>
      <c r="E70" t="s">
        <v>342</v>
      </c>
      <c r="F70" t="s">
        <v>334</v>
      </c>
      <c r="G70" t="s">
        <v>160</v>
      </c>
      <c r="H70" s="4" t="s">
        <v>343</v>
      </c>
      <c r="I70" s="4" t="s">
        <v>344</v>
      </c>
      <c r="J70" s="23"/>
      <c r="K70" s="23" t="str">
        <f t="shared" si="0"/>
        <v>DF_SDG_04</v>
      </c>
      <c r="L70" s="23" t="s">
        <v>252</v>
      </c>
      <c r="M70" s="23"/>
      <c r="N70" s="23"/>
      <c r="P70">
        <v>1</v>
      </c>
    </row>
    <row r="71" spans="1:16" ht="14.5" x14ac:dyDescent="0.35">
      <c r="A71" s="20">
        <v>68</v>
      </c>
      <c r="B71" s="20">
        <v>1</v>
      </c>
      <c r="C71" t="s">
        <v>66</v>
      </c>
      <c r="D71" t="s">
        <v>349</v>
      </c>
      <c r="E71" t="s">
        <v>346</v>
      </c>
      <c r="F71" t="s">
        <v>334</v>
      </c>
      <c r="G71" t="s">
        <v>160</v>
      </c>
      <c r="H71" s="4" t="s">
        <v>347</v>
      </c>
      <c r="I71" s="4" t="s">
        <v>348</v>
      </c>
      <c r="J71" s="23"/>
      <c r="K71" s="23" t="str">
        <f t="shared" si="0"/>
        <v>DF_SDG_04</v>
      </c>
      <c r="L71" s="23" t="s">
        <v>252</v>
      </c>
      <c r="M71" s="23"/>
      <c r="N71" s="23"/>
      <c r="P71">
        <v>1</v>
      </c>
    </row>
    <row r="72" spans="1:16" ht="14.5" x14ac:dyDescent="0.35">
      <c r="A72" s="20">
        <v>69</v>
      </c>
      <c r="B72" s="20">
        <v>1</v>
      </c>
      <c r="C72" t="s">
        <v>66</v>
      </c>
      <c r="D72" t="s">
        <v>353</v>
      </c>
      <c r="E72" t="s">
        <v>350</v>
      </c>
      <c r="F72" t="s">
        <v>334</v>
      </c>
      <c r="G72" t="s">
        <v>160</v>
      </c>
      <c r="H72" s="4" t="s">
        <v>351</v>
      </c>
      <c r="I72" s="4" t="s">
        <v>352</v>
      </c>
      <c r="J72" s="23"/>
      <c r="K72" s="23" t="str">
        <f t="shared" si="0"/>
        <v>DF_SDG_04</v>
      </c>
      <c r="L72" s="23" t="s">
        <v>252</v>
      </c>
      <c r="M72" s="23"/>
      <c r="N72" s="23"/>
      <c r="P72">
        <v>1</v>
      </c>
    </row>
    <row r="73" spans="1:16" ht="14.5" x14ac:dyDescent="0.35">
      <c r="A73" s="20">
        <v>70</v>
      </c>
      <c r="B73" s="20">
        <v>1</v>
      </c>
      <c r="C73" t="s">
        <v>66</v>
      </c>
      <c r="D73" t="s">
        <v>357</v>
      </c>
      <c r="E73" t="s">
        <v>354</v>
      </c>
      <c r="F73" t="s">
        <v>334</v>
      </c>
      <c r="G73" t="s">
        <v>160</v>
      </c>
      <c r="H73" s="4" t="s">
        <v>355</v>
      </c>
      <c r="I73" s="4" t="s">
        <v>356</v>
      </c>
      <c r="J73" s="23" t="s">
        <v>65</v>
      </c>
      <c r="K73" s="23" t="str">
        <f t="shared" si="0"/>
        <v>DF_SDG_04</v>
      </c>
      <c r="L73" s="23" t="s">
        <v>252</v>
      </c>
      <c r="M73" s="23"/>
      <c r="N73" s="23"/>
      <c r="P73">
        <v>1</v>
      </c>
    </row>
    <row r="74" spans="1:16" ht="14.5" x14ac:dyDescent="0.35">
      <c r="A74" s="20">
        <v>71</v>
      </c>
      <c r="B74" s="20">
        <v>0</v>
      </c>
      <c r="C74" t="s">
        <v>66</v>
      </c>
      <c r="D74" t="s">
        <v>359</v>
      </c>
      <c r="E74" t="s">
        <v>753</v>
      </c>
      <c r="F74" t="s">
        <v>358</v>
      </c>
      <c r="G74" t="s">
        <v>65</v>
      </c>
      <c r="H74" t="s">
        <v>65</v>
      </c>
      <c r="I74" t="s">
        <v>65</v>
      </c>
      <c r="J74" s="23" t="s">
        <v>65</v>
      </c>
      <c r="K74" s="23" t="str">
        <f t="shared" si="0"/>
        <v>-</v>
      </c>
      <c r="L74" s="23"/>
      <c r="M74" s="33" t="s">
        <v>754</v>
      </c>
      <c r="N74" s="33"/>
      <c r="O74" s="4" t="s">
        <v>755</v>
      </c>
    </row>
    <row r="75" spans="1:16" ht="14.5" x14ac:dyDescent="0.35">
      <c r="A75" s="20">
        <v>72</v>
      </c>
      <c r="B75" s="20">
        <v>0</v>
      </c>
      <c r="C75" t="s">
        <v>66</v>
      </c>
      <c r="D75" t="s">
        <v>361</v>
      </c>
      <c r="E75" t="s">
        <v>65</v>
      </c>
      <c r="F75" t="s">
        <v>360</v>
      </c>
      <c r="G75" t="s">
        <v>65</v>
      </c>
      <c r="H75" t="s">
        <v>65</v>
      </c>
      <c r="I75" t="s">
        <v>65</v>
      </c>
      <c r="J75" s="23" t="s">
        <v>65</v>
      </c>
      <c r="K75" s="23" t="str">
        <f t="shared" si="0"/>
        <v>-</v>
      </c>
      <c r="L75" s="23"/>
      <c r="M75" s="23" t="s">
        <v>756</v>
      </c>
      <c r="N75" s="23"/>
    </row>
    <row r="76" spans="1:16" ht="14.5" x14ac:dyDescent="0.35">
      <c r="A76" s="20">
        <v>73</v>
      </c>
      <c r="B76" s="20">
        <v>0</v>
      </c>
      <c r="C76" t="s">
        <v>66</v>
      </c>
      <c r="D76" t="s">
        <v>363</v>
      </c>
      <c r="E76" t="s">
        <v>65</v>
      </c>
      <c r="F76" t="s">
        <v>362</v>
      </c>
      <c r="G76" t="s">
        <v>65</v>
      </c>
      <c r="H76" t="s">
        <v>65</v>
      </c>
      <c r="I76" t="s">
        <v>65</v>
      </c>
      <c r="J76" s="23" t="s">
        <v>65</v>
      </c>
      <c r="K76" s="23" t="str">
        <f t="shared" si="0"/>
        <v>-</v>
      </c>
      <c r="L76" s="23"/>
      <c r="M76" s="33" t="s">
        <v>754</v>
      </c>
      <c r="N76" s="33"/>
      <c r="O76" s="4" t="s">
        <v>757</v>
      </c>
    </row>
    <row r="77" spans="1:16" ht="14.5" x14ac:dyDescent="0.35">
      <c r="A77" s="20">
        <v>74</v>
      </c>
      <c r="B77" s="20">
        <v>0</v>
      </c>
      <c r="C77" t="s">
        <v>66</v>
      </c>
      <c r="D77" t="s">
        <v>758</v>
      </c>
      <c r="E77" t="s">
        <v>759</v>
      </c>
      <c r="F77" t="s">
        <v>364</v>
      </c>
      <c r="G77" t="s">
        <v>65</v>
      </c>
      <c r="H77" t="s">
        <v>65</v>
      </c>
      <c r="I77" t="s">
        <v>65</v>
      </c>
      <c r="J77" s="23" t="s">
        <v>65</v>
      </c>
      <c r="K77" s="23" t="str">
        <f t="shared" si="0"/>
        <v>-</v>
      </c>
      <c r="L77" s="23"/>
      <c r="M77" s="33" t="s">
        <v>754</v>
      </c>
      <c r="N77" s="33"/>
      <c r="O77" s="4" t="s">
        <v>757</v>
      </c>
    </row>
    <row r="78" spans="1:16" ht="14.5" x14ac:dyDescent="0.35">
      <c r="A78" s="20">
        <v>75</v>
      </c>
      <c r="B78" s="20">
        <v>1</v>
      </c>
      <c r="C78" s="3" t="s">
        <v>62</v>
      </c>
      <c r="D78" s="3" t="s">
        <v>365</v>
      </c>
      <c r="E78" s="3" t="s">
        <v>366</v>
      </c>
      <c r="F78" s="3"/>
      <c r="G78" s="3" t="s">
        <v>65</v>
      </c>
      <c r="H78" s="3"/>
      <c r="I78" s="3" t="s">
        <v>65</v>
      </c>
      <c r="J78" s="25" t="s">
        <v>65</v>
      </c>
      <c r="K78" s="23" t="str">
        <f t="shared" si="0"/>
        <v>-</v>
      </c>
      <c r="L78" s="23"/>
      <c r="M78" s="23"/>
      <c r="N78" s="23"/>
    </row>
    <row r="79" spans="1:16" ht="14.5" x14ac:dyDescent="0.35">
      <c r="A79" s="20">
        <v>76</v>
      </c>
      <c r="B79" s="20">
        <v>1</v>
      </c>
      <c r="C79" t="s">
        <v>66</v>
      </c>
      <c r="D79" t="s">
        <v>367</v>
      </c>
      <c r="E79" t="s">
        <v>368</v>
      </c>
      <c r="F79" t="s">
        <v>368</v>
      </c>
      <c r="G79" t="s">
        <v>160</v>
      </c>
      <c r="H79" s="21" t="s">
        <v>369</v>
      </c>
      <c r="I79" s="21" t="s">
        <v>370</v>
      </c>
      <c r="J79" s="24" t="s">
        <v>65</v>
      </c>
      <c r="K79" s="24" t="str">
        <f t="shared" si="0"/>
        <v>DF_NATIONAL_ACCOUNTS</v>
      </c>
      <c r="L79" s="23" t="s">
        <v>371</v>
      </c>
      <c r="M79" s="23"/>
      <c r="N79" s="23"/>
    </row>
    <row r="80" spans="1:16" ht="14.5" x14ac:dyDescent="0.35">
      <c r="A80" s="20">
        <v>77</v>
      </c>
      <c r="B80" s="20">
        <v>1</v>
      </c>
      <c r="C80" t="s">
        <v>66</v>
      </c>
      <c r="D80" t="s">
        <v>372</v>
      </c>
      <c r="E80" s="6" t="s">
        <v>373</v>
      </c>
      <c r="F80" t="s">
        <v>374</v>
      </c>
      <c r="G80" t="s">
        <v>160</v>
      </c>
      <c r="H80" s="4" t="s">
        <v>375</v>
      </c>
      <c r="I80" s="4" t="s">
        <v>376</v>
      </c>
      <c r="J80" s="23" t="s">
        <v>65</v>
      </c>
      <c r="K80" s="23" t="str">
        <f t="shared" si="0"/>
        <v>DF_SOCECO</v>
      </c>
      <c r="L80" s="23"/>
      <c r="M80" s="23"/>
      <c r="N80" s="23"/>
    </row>
    <row r="81" spans="1:16" ht="14.5" x14ac:dyDescent="0.35">
      <c r="A81" s="20">
        <v>78</v>
      </c>
      <c r="B81" s="20">
        <v>1</v>
      </c>
      <c r="C81" t="s">
        <v>66</v>
      </c>
      <c r="D81" t="s">
        <v>377</v>
      </c>
      <c r="E81" s="6" t="s">
        <v>378</v>
      </c>
      <c r="F81" t="s">
        <v>379</v>
      </c>
      <c r="G81" t="s">
        <v>160</v>
      </c>
      <c r="H81" s="4" t="s">
        <v>380</v>
      </c>
      <c r="I81" s="4" t="s">
        <v>381</v>
      </c>
      <c r="J81" s="23" t="s">
        <v>65</v>
      </c>
      <c r="K81" s="23" t="str">
        <f t="shared" si="0"/>
        <v>DF_WBWDI</v>
      </c>
      <c r="L81" s="23" t="s">
        <v>382</v>
      </c>
      <c r="M81" s="23"/>
      <c r="N81" s="23"/>
    </row>
    <row r="82" spans="1:16" ht="14.5" x14ac:dyDescent="0.35">
      <c r="A82" s="20">
        <v>79</v>
      </c>
      <c r="B82" s="20">
        <v>1</v>
      </c>
      <c r="C82" t="s">
        <v>66</v>
      </c>
      <c r="D82" t="s">
        <v>383</v>
      </c>
      <c r="E82" s="6" t="s">
        <v>384</v>
      </c>
      <c r="F82" t="s">
        <v>379</v>
      </c>
      <c r="G82" t="s">
        <v>160</v>
      </c>
      <c r="H82" s="4" t="s">
        <v>385</v>
      </c>
      <c r="I82" s="4" t="s">
        <v>386</v>
      </c>
      <c r="J82" s="23" t="s">
        <v>65</v>
      </c>
      <c r="K82" s="23" t="str">
        <f t="shared" si="0"/>
        <v>DF_WBWDI</v>
      </c>
      <c r="L82" s="23" t="s">
        <v>382</v>
      </c>
      <c r="M82" s="23"/>
      <c r="N82" s="23"/>
    </row>
    <row r="83" spans="1:16" ht="14.5" x14ac:dyDescent="0.35">
      <c r="A83" s="20">
        <v>80</v>
      </c>
      <c r="B83" s="20">
        <v>1</v>
      </c>
      <c r="C83" t="s">
        <v>66</v>
      </c>
      <c r="D83" t="s">
        <v>387</v>
      </c>
      <c r="E83" s="6" t="s">
        <v>388</v>
      </c>
      <c r="F83" t="s">
        <v>379</v>
      </c>
      <c r="G83" t="s">
        <v>160</v>
      </c>
      <c r="H83" s="4" t="s">
        <v>389</v>
      </c>
      <c r="I83" s="4" t="s">
        <v>390</v>
      </c>
      <c r="J83" s="23" t="s">
        <v>65</v>
      </c>
      <c r="K83" s="23" t="str">
        <f t="shared" si="0"/>
        <v>DF_WBWDI</v>
      </c>
      <c r="L83" s="23" t="s">
        <v>382</v>
      </c>
      <c r="M83" s="23"/>
      <c r="N83" s="23"/>
    </row>
    <row r="84" spans="1:16" ht="14.5" x14ac:dyDescent="0.35">
      <c r="A84" s="20">
        <v>81</v>
      </c>
      <c r="B84" s="20">
        <v>1</v>
      </c>
      <c r="C84" t="s">
        <v>66</v>
      </c>
      <c r="D84" t="s">
        <v>391</v>
      </c>
      <c r="E84" t="s">
        <v>981</v>
      </c>
      <c r="F84" t="s">
        <v>393</v>
      </c>
      <c r="G84" t="s">
        <v>160</v>
      </c>
      <c r="H84" s="4" t="s">
        <v>980</v>
      </c>
      <c r="I84" s="4" t="s">
        <v>979</v>
      </c>
      <c r="J84" s="23" t="s">
        <v>65</v>
      </c>
      <c r="K84" s="23" t="str">
        <f t="shared" si="0"/>
        <v>DF_SDG_01</v>
      </c>
      <c r="L84" s="23"/>
      <c r="M84" s="23"/>
      <c r="N84" s="23" t="s">
        <v>987</v>
      </c>
      <c r="P84">
        <v>1</v>
      </c>
    </row>
    <row r="85" spans="1:16" ht="14.5" x14ac:dyDescent="0.35">
      <c r="A85" s="20">
        <v>82</v>
      </c>
      <c r="B85" s="20">
        <v>1</v>
      </c>
      <c r="C85" t="s">
        <v>66</v>
      </c>
      <c r="D85" t="s">
        <v>396</v>
      </c>
      <c r="E85" s="29" t="s">
        <v>397</v>
      </c>
      <c r="F85" t="s">
        <v>397</v>
      </c>
      <c r="G85" t="s">
        <v>160</v>
      </c>
      <c r="H85" s="4" t="s">
        <v>398</v>
      </c>
      <c r="I85" s="4" t="s">
        <v>399</v>
      </c>
      <c r="J85" s="23" t="s">
        <v>65</v>
      </c>
      <c r="K85" s="23" t="str">
        <f t="shared" si="0"/>
        <v>DF_SDG_08</v>
      </c>
      <c r="L85" s="23"/>
      <c r="M85" s="23"/>
      <c r="N85" s="23"/>
      <c r="P85">
        <v>1</v>
      </c>
    </row>
    <row r="86" spans="1:16" ht="14.5" x14ac:dyDescent="0.35">
      <c r="A86" s="20">
        <v>83</v>
      </c>
      <c r="B86" s="20">
        <v>1</v>
      </c>
      <c r="C86" t="s">
        <v>66</v>
      </c>
      <c r="D86" t="s">
        <v>400</v>
      </c>
      <c r="E86" t="s">
        <v>401</v>
      </c>
      <c r="F86" t="s">
        <v>401</v>
      </c>
      <c r="G86" t="s">
        <v>160</v>
      </c>
      <c r="H86" s="4" t="s">
        <v>402</v>
      </c>
      <c r="I86" s="4" t="s">
        <v>403</v>
      </c>
      <c r="J86" s="23" t="s">
        <v>65</v>
      </c>
      <c r="K86" s="23" t="str">
        <f t="shared" si="0"/>
        <v>DF_SDG_08</v>
      </c>
      <c r="L86" s="23"/>
      <c r="M86" s="23"/>
      <c r="N86" s="23"/>
      <c r="P86">
        <v>1</v>
      </c>
    </row>
    <row r="87" spans="1:16" ht="14.5" x14ac:dyDescent="0.35">
      <c r="A87" s="20">
        <v>84</v>
      </c>
      <c r="B87" s="20">
        <v>1</v>
      </c>
      <c r="C87" t="s">
        <v>66</v>
      </c>
      <c r="D87" t="s">
        <v>404</v>
      </c>
      <c r="E87" t="s">
        <v>405</v>
      </c>
      <c r="F87" t="s">
        <v>405</v>
      </c>
      <c r="G87" t="s">
        <v>160</v>
      </c>
      <c r="H87" s="4" t="s">
        <v>406</v>
      </c>
      <c r="I87" s="4" t="s">
        <v>407</v>
      </c>
      <c r="J87" s="23" t="s">
        <v>65</v>
      </c>
      <c r="K87" s="23" t="str">
        <f t="shared" si="0"/>
        <v>DF_WBWDI</v>
      </c>
      <c r="L87" s="23"/>
      <c r="M87" s="23"/>
      <c r="N87" s="23"/>
    </row>
    <row r="88" spans="1:16" ht="14.5" x14ac:dyDescent="0.35">
      <c r="A88" s="20">
        <v>85</v>
      </c>
      <c r="B88" s="20">
        <v>1</v>
      </c>
      <c r="C88" t="s">
        <v>66</v>
      </c>
      <c r="D88" t="s">
        <v>408</v>
      </c>
      <c r="E88" t="s">
        <v>409</v>
      </c>
      <c r="F88" t="s">
        <v>409</v>
      </c>
      <c r="G88" t="s">
        <v>160</v>
      </c>
      <c r="H88" s="4" t="s">
        <v>410</v>
      </c>
      <c r="I88" s="4" t="s">
        <v>411</v>
      </c>
      <c r="J88" s="23" t="s">
        <v>65</v>
      </c>
      <c r="K88" s="23" t="str">
        <f t="shared" ref="K88:K154" si="2">IF(I88="-", "-", LEFT(RIGHT(I88, LEN(I88)-FIND("SPC,", I88)-3), FIND(",", RIGHT(I88, LEN(I88)-FIND("SPC,", I88)-3))-1))</f>
        <v>DF_SDG_08</v>
      </c>
      <c r="L88" s="23"/>
      <c r="M88" s="23"/>
      <c r="N88" s="23"/>
      <c r="P88">
        <v>1</v>
      </c>
    </row>
    <row r="89" spans="1:16" ht="14.5" x14ac:dyDescent="0.35">
      <c r="A89" s="20">
        <v>86</v>
      </c>
      <c r="B89" s="20">
        <v>1</v>
      </c>
      <c r="C89" t="s">
        <v>66</v>
      </c>
      <c r="D89" t="s">
        <v>412</v>
      </c>
      <c r="E89" t="s">
        <v>413</v>
      </c>
      <c r="F89" t="s">
        <v>414</v>
      </c>
      <c r="G89" t="s">
        <v>160</v>
      </c>
      <c r="H89" s="21" t="s">
        <v>415</v>
      </c>
      <c r="I89" s="21" t="s">
        <v>416</v>
      </c>
      <c r="J89" s="24" t="s">
        <v>65</v>
      </c>
      <c r="K89" s="24" t="str">
        <f t="shared" si="2"/>
        <v>DF_NATIONAL_ACCOUNTS</v>
      </c>
      <c r="L89" s="23" t="s">
        <v>417</v>
      </c>
      <c r="M89" s="23"/>
      <c r="N89" s="23"/>
    </row>
    <row r="90" spans="1:16" ht="14.5" x14ac:dyDescent="0.35">
      <c r="A90" s="20">
        <v>87</v>
      </c>
      <c r="B90" s="20">
        <v>0</v>
      </c>
      <c r="C90" t="s">
        <v>66</v>
      </c>
      <c r="D90" t="s">
        <v>418</v>
      </c>
      <c r="E90" s="29" t="s">
        <v>113</v>
      </c>
      <c r="F90" t="s">
        <v>113</v>
      </c>
      <c r="G90" t="s">
        <v>65</v>
      </c>
      <c r="H90" t="s">
        <v>65</v>
      </c>
      <c r="I90" t="s">
        <v>65</v>
      </c>
      <c r="J90" s="23" t="s">
        <v>65</v>
      </c>
      <c r="K90" s="23" t="str">
        <f t="shared" si="2"/>
        <v>-</v>
      </c>
      <c r="L90" s="23"/>
      <c r="M90" s="33" t="s">
        <v>760</v>
      </c>
      <c r="N90" s="33"/>
      <c r="O90" s="4" t="s">
        <v>761</v>
      </c>
    </row>
    <row r="91" spans="1:16" ht="14.5" x14ac:dyDescent="0.35">
      <c r="A91" s="20">
        <v>88</v>
      </c>
      <c r="B91" s="20">
        <v>1</v>
      </c>
      <c r="C91" s="3" t="s">
        <v>62</v>
      </c>
      <c r="D91" s="3" t="s">
        <v>419</v>
      </c>
      <c r="E91" s="3" t="s">
        <v>420</v>
      </c>
      <c r="F91" s="3"/>
      <c r="G91" s="3" t="s">
        <v>65</v>
      </c>
      <c r="H91" s="3"/>
      <c r="I91" s="3" t="s">
        <v>65</v>
      </c>
      <c r="J91" s="25" t="s">
        <v>65</v>
      </c>
      <c r="K91" s="23" t="str">
        <f t="shared" si="2"/>
        <v>-</v>
      </c>
      <c r="L91" s="23"/>
      <c r="M91" s="23"/>
      <c r="N91" s="23"/>
    </row>
    <row r="92" spans="1:16" ht="14.5" x14ac:dyDescent="0.35">
      <c r="A92" s="20">
        <v>89</v>
      </c>
      <c r="B92" s="20">
        <v>1</v>
      </c>
      <c r="C92" t="s">
        <v>66</v>
      </c>
      <c r="D92" t="s">
        <v>421</v>
      </c>
      <c r="E92" t="s">
        <v>422</v>
      </c>
      <c r="F92" t="s">
        <v>423</v>
      </c>
      <c r="G92" t="s">
        <v>160</v>
      </c>
      <c r="H92" s="4" t="s">
        <v>424</v>
      </c>
      <c r="I92" s="4" t="s">
        <v>425</v>
      </c>
      <c r="J92" s="23" t="s">
        <v>65</v>
      </c>
      <c r="K92" s="23" t="str">
        <f t="shared" si="2"/>
        <v>DF_EGOV</v>
      </c>
      <c r="L92" s="23"/>
      <c r="M92" s="23"/>
      <c r="N92" s="23"/>
      <c r="P92">
        <v>1</v>
      </c>
    </row>
    <row r="93" spans="1:16" ht="14.5" x14ac:dyDescent="0.35">
      <c r="A93" s="20">
        <v>90</v>
      </c>
      <c r="B93" s="20">
        <v>1</v>
      </c>
      <c r="C93" t="s">
        <v>66</v>
      </c>
      <c r="D93" t="s">
        <v>426</v>
      </c>
      <c r="E93" t="s">
        <v>427</v>
      </c>
      <c r="F93" t="s">
        <v>428</v>
      </c>
      <c r="G93" t="s">
        <v>160</v>
      </c>
      <c r="H93" s="4" t="s">
        <v>429</v>
      </c>
      <c r="I93" s="4" t="s">
        <v>430</v>
      </c>
      <c r="J93" s="23" t="s">
        <v>65</v>
      </c>
      <c r="K93" s="23" t="str">
        <f t="shared" si="2"/>
        <v>DF_TOURISM_EARNINGS</v>
      </c>
      <c r="L93" s="23"/>
      <c r="M93" s="23"/>
      <c r="N93" s="23"/>
    </row>
    <row r="94" spans="1:16" ht="14.5" x14ac:dyDescent="0.35">
      <c r="A94" s="20">
        <v>91</v>
      </c>
      <c r="B94" s="20">
        <v>1</v>
      </c>
      <c r="C94" t="s">
        <v>66</v>
      </c>
      <c r="D94" t="s">
        <v>431</v>
      </c>
      <c r="E94" t="s">
        <v>432</v>
      </c>
      <c r="F94" t="s">
        <v>433</v>
      </c>
      <c r="G94" t="s">
        <v>160</v>
      </c>
      <c r="H94" s="4" t="s">
        <v>434</v>
      </c>
      <c r="I94" s="4" t="s">
        <v>435</v>
      </c>
      <c r="J94" s="23" t="s">
        <v>65</v>
      </c>
      <c r="K94" s="23" t="str">
        <f t="shared" si="2"/>
        <v>DF_TOURISM_EARNINGS</v>
      </c>
      <c r="L94" s="23"/>
      <c r="M94" s="23"/>
      <c r="N94" s="23"/>
    </row>
    <row r="95" spans="1:16" ht="14.5" x14ac:dyDescent="0.35">
      <c r="A95" s="20">
        <v>92</v>
      </c>
      <c r="B95" s="20">
        <v>1</v>
      </c>
      <c r="C95" t="s">
        <v>66</v>
      </c>
      <c r="D95" t="s">
        <v>436</v>
      </c>
      <c r="E95" t="s">
        <v>437</v>
      </c>
      <c r="F95" t="s">
        <v>438</v>
      </c>
      <c r="G95" t="s">
        <v>160</v>
      </c>
      <c r="H95" s="4" t="s">
        <v>439</v>
      </c>
      <c r="I95" s="4" t="s">
        <v>440</v>
      </c>
      <c r="J95" s="23" t="s">
        <v>65</v>
      </c>
      <c r="K95" s="23" t="str">
        <f t="shared" si="2"/>
        <v>DF_OVERSEAS_VISITORS</v>
      </c>
      <c r="L95" s="23"/>
      <c r="M95" s="23"/>
      <c r="N95" s="23"/>
    </row>
    <row r="96" spans="1:16" ht="14.5" x14ac:dyDescent="0.35">
      <c r="A96" s="20">
        <v>93</v>
      </c>
      <c r="B96" s="20">
        <v>1</v>
      </c>
      <c r="C96" t="s">
        <v>66</v>
      </c>
      <c r="D96" t="s">
        <v>441</v>
      </c>
      <c r="E96" t="s">
        <v>442</v>
      </c>
      <c r="F96" t="s">
        <v>442</v>
      </c>
      <c r="G96" t="s">
        <v>160</v>
      </c>
      <c r="H96" s="4" t="s">
        <v>443</v>
      </c>
      <c r="I96" s="4" t="s">
        <v>444</v>
      </c>
      <c r="J96" s="23" t="s">
        <v>65</v>
      </c>
      <c r="K96" s="23" t="str">
        <f t="shared" si="2"/>
        <v>DF_WBDAI</v>
      </c>
      <c r="L96" s="23"/>
      <c r="M96" s="23"/>
      <c r="N96" s="23"/>
    </row>
    <row r="97" spans="1:16" ht="14.5" x14ac:dyDescent="0.35">
      <c r="A97" s="20">
        <v>94</v>
      </c>
      <c r="B97" s="20">
        <v>1</v>
      </c>
      <c r="C97" t="s">
        <v>66</v>
      </c>
      <c r="D97" t="s">
        <v>445</v>
      </c>
      <c r="E97" t="s">
        <v>446</v>
      </c>
      <c r="F97" t="s">
        <v>447</v>
      </c>
      <c r="G97" t="s">
        <v>160</v>
      </c>
      <c r="H97" s="4" t="s">
        <v>448</v>
      </c>
      <c r="I97" s="4" t="s">
        <v>449</v>
      </c>
      <c r="J97" s="23" t="s">
        <v>65</v>
      </c>
      <c r="K97" s="23" t="str">
        <f t="shared" si="2"/>
        <v>DF_DIGITAL_DEVELOPMENT</v>
      </c>
      <c r="L97" s="23"/>
      <c r="M97" s="23"/>
      <c r="N97" s="23"/>
      <c r="P97">
        <v>1</v>
      </c>
    </row>
    <row r="98" spans="1:16" ht="14.5" x14ac:dyDescent="0.35">
      <c r="A98" s="20">
        <v>95</v>
      </c>
      <c r="B98" s="20">
        <v>1</v>
      </c>
      <c r="C98" t="s">
        <v>66</v>
      </c>
      <c r="D98" t="s">
        <v>450</v>
      </c>
      <c r="E98" t="s">
        <v>451</v>
      </c>
      <c r="F98" t="s">
        <v>452</v>
      </c>
      <c r="G98" t="s">
        <v>160</v>
      </c>
      <c r="H98" s="4" t="s">
        <v>453</v>
      </c>
      <c r="I98" s="4" t="s">
        <v>454</v>
      </c>
      <c r="J98" s="23" t="s">
        <v>65</v>
      </c>
      <c r="K98" s="23" t="str">
        <f t="shared" si="2"/>
        <v>DF_SDG_17</v>
      </c>
      <c r="L98" s="23" t="s">
        <v>183</v>
      </c>
      <c r="M98" s="23"/>
      <c r="N98" s="23"/>
      <c r="P98">
        <v>1</v>
      </c>
    </row>
    <row r="99" spans="1:16" ht="14.5" x14ac:dyDescent="0.35">
      <c r="A99" s="20">
        <v>96</v>
      </c>
      <c r="B99" s="20">
        <v>1</v>
      </c>
      <c r="C99" t="s">
        <v>66</v>
      </c>
      <c r="D99" t="s">
        <v>455</v>
      </c>
      <c r="E99" t="s">
        <v>456</v>
      </c>
      <c r="F99" t="s">
        <v>456</v>
      </c>
      <c r="G99" t="s">
        <v>160</v>
      </c>
      <c r="H99" s="4" t="s">
        <v>457</v>
      </c>
      <c r="I99" s="4" t="s">
        <v>458</v>
      </c>
      <c r="J99" s="23" t="s">
        <v>65</v>
      </c>
      <c r="K99" s="23" t="str">
        <f t="shared" si="2"/>
        <v>DF_NMDI_FIS</v>
      </c>
      <c r="L99" s="23"/>
      <c r="M99" s="23"/>
      <c r="N99" s="23"/>
    </row>
    <row r="100" spans="1:16" ht="14.5" x14ac:dyDescent="0.35">
      <c r="A100" s="20">
        <v>97</v>
      </c>
      <c r="B100" s="20">
        <v>1</v>
      </c>
      <c r="C100" t="s">
        <v>66</v>
      </c>
      <c r="D100" t="s">
        <v>459</v>
      </c>
      <c r="E100" t="s">
        <v>460</v>
      </c>
      <c r="F100" t="s">
        <v>460</v>
      </c>
      <c r="G100" t="s">
        <v>160</v>
      </c>
      <c r="H100" s="4" t="s">
        <v>461</v>
      </c>
      <c r="I100" s="4" t="s">
        <v>462</v>
      </c>
      <c r="J100" s="23" t="s">
        <v>65</v>
      </c>
      <c r="K100" s="23" t="str">
        <f t="shared" si="2"/>
        <v>DF_NMDI_FIS</v>
      </c>
      <c r="L100" s="23"/>
      <c r="M100" s="23"/>
      <c r="N100" s="23"/>
    </row>
    <row r="101" spans="1:16" ht="14.5" x14ac:dyDescent="0.35">
      <c r="A101" s="20">
        <v>98</v>
      </c>
      <c r="B101" s="20">
        <v>1</v>
      </c>
      <c r="C101" s="3" t="s">
        <v>62</v>
      </c>
      <c r="D101" s="3" t="s">
        <v>463</v>
      </c>
      <c r="E101" s="3" t="s">
        <v>464</v>
      </c>
      <c r="F101" s="3"/>
      <c r="G101" s="3" t="s">
        <v>65</v>
      </c>
      <c r="H101" s="3"/>
      <c r="I101" s="3" t="s">
        <v>65</v>
      </c>
      <c r="J101" s="25" t="s">
        <v>65</v>
      </c>
      <c r="K101" s="23" t="str">
        <f t="shared" si="2"/>
        <v>-</v>
      </c>
      <c r="L101" s="23"/>
      <c r="M101" s="23"/>
      <c r="N101" s="23"/>
    </row>
    <row r="102" spans="1:16" ht="14.5" x14ac:dyDescent="0.35">
      <c r="A102" s="20">
        <v>99</v>
      </c>
      <c r="B102" s="20">
        <v>1</v>
      </c>
      <c r="C102" t="s">
        <v>66</v>
      </c>
      <c r="D102" t="s">
        <v>465</v>
      </c>
      <c r="E102" t="s">
        <v>466</v>
      </c>
      <c r="F102" t="s">
        <v>467</v>
      </c>
      <c r="G102" t="s">
        <v>160</v>
      </c>
      <c r="H102" s="4" t="s">
        <v>468</v>
      </c>
      <c r="I102" s="4" t="s">
        <v>469</v>
      </c>
      <c r="J102" s="23" t="s">
        <v>65</v>
      </c>
      <c r="K102" s="23" t="str">
        <f t="shared" si="2"/>
        <v>DF_SDG_07</v>
      </c>
      <c r="L102" s="23" t="s">
        <v>183</v>
      </c>
      <c r="M102" s="23"/>
      <c r="N102" s="23"/>
      <c r="P102">
        <v>1</v>
      </c>
    </row>
    <row r="103" spans="1:16" ht="14.5" x14ac:dyDescent="0.35">
      <c r="A103" s="20">
        <v>100</v>
      </c>
      <c r="B103" s="20">
        <v>1</v>
      </c>
      <c r="C103" t="s">
        <v>66</v>
      </c>
      <c r="D103" t="s">
        <v>470</v>
      </c>
      <c r="E103" t="s">
        <v>471</v>
      </c>
      <c r="F103" t="s">
        <v>472</v>
      </c>
      <c r="G103" t="s">
        <v>160</v>
      </c>
      <c r="H103" s="4" t="s">
        <v>473</v>
      </c>
      <c r="I103" s="4" t="s">
        <v>474</v>
      </c>
      <c r="J103" s="23" t="s">
        <v>65</v>
      </c>
      <c r="K103" s="23" t="str">
        <f t="shared" si="2"/>
        <v>DF_SDG_07</v>
      </c>
      <c r="L103" s="23" t="s">
        <v>183</v>
      </c>
      <c r="M103" s="23"/>
      <c r="N103" s="23"/>
    </row>
    <row r="104" spans="1:16" ht="14.5" x14ac:dyDescent="0.35">
      <c r="A104" s="20">
        <v>101</v>
      </c>
      <c r="B104" s="20">
        <v>1</v>
      </c>
      <c r="C104" t="s">
        <v>66</v>
      </c>
      <c r="D104" t="s">
        <v>475</v>
      </c>
      <c r="E104" t="s">
        <v>476</v>
      </c>
      <c r="F104" t="s">
        <v>477</v>
      </c>
      <c r="G104" t="s">
        <v>160</v>
      </c>
      <c r="H104" s="4" t="s">
        <v>478</v>
      </c>
      <c r="I104" s="4" t="s">
        <v>479</v>
      </c>
      <c r="J104" s="23" t="s">
        <v>65</v>
      </c>
      <c r="K104" s="23" t="str">
        <f t="shared" si="2"/>
        <v>DF_SDG_07</v>
      </c>
      <c r="L104" s="23" t="s">
        <v>183</v>
      </c>
      <c r="M104" s="23"/>
      <c r="N104" s="23"/>
    </row>
    <row r="105" spans="1:16" ht="14.5" x14ac:dyDescent="0.35">
      <c r="A105" s="20">
        <v>102</v>
      </c>
      <c r="B105" s="20">
        <v>1</v>
      </c>
      <c r="C105" t="s">
        <v>66</v>
      </c>
      <c r="D105" t="s">
        <v>480</v>
      </c>
      <c r="E105" s="6" t="s">
        <v>481</v>
      </c>
      <c r="F105" t="s">
        <v>481</v>
      </c>
      <c r="G105" t="s">
        <v>160</v>
      </c>
      <c r="H105" s="4" t="s">
        <v>482</v>
      </c>
      <c r="I105" s="4" t="s">
        <v>483</v>
      </c>
      <c r="J105" s="23" t="s">
        <v>65</v>
      </c>
      <c r="K105" s="23" t="str">
        <f t="shared" si="2"/>
        <v>DF_WBWDI</v>
      </c>
      <c r="L105" s="23"/>
      <c r="M105" s="23"/>
      <c r="N105" s="23"/>
    </row>
    <row r="106" spans="1:16" ht="14.5" x14ac:dyDescent="0.35">
      <c r="A106" s="20">
        <v>103</v>
      </c>
      <c r="B106" s="20">
        <v>1</v>
      </c>
      <c r="C106" t="s">
        <v>66</v>
      </c>
      <c r="D106" t="s">
        <v>484</v>
      </c>
      <c r="E106" t="s">
        <v>485</v>
      </c>
      <c r="F106" t="s">
        <v>486</v>
      </c>
      <c r="G106" t="s">
        <v>160</v>
      </c>
      <c r="H106" s="4" t="s">
        <v>487</v>
      </c>
      <c r="I106" s="4" t="s">
        <v>488</v>
      </c>
      <c r="J106" s="23" t="s">
        <v>65</v>
      </c>
      <c r="K106" s="23" t="str">
        <f t="shared" si="2"/>
        <v>DF_NMDI</v>
      </c>
      <c r="L106" s="23"/>
      <c r="M106" s="23"/>
      <c r="N106" s="23"/>
    </row>
    <row r="107" spans="1:16" ht="14.5" x14ac:dyDescent="0.35">
      <c r="A107" s="20">
        <v>104</v>
      </c>
      <c r="B107" s="20">
        <v>1</v>
      </c>
      <c r="C107" t="s">
        <v>66</v>
      </c>
      <c r="D107" t="s">
        <v>489</v>
      </c>
      <c r="E107" t="s">
        <v>490</v>
      </c>
      <c r="F107" t="s">
        <v>491</v>
      </c>
      <c r="G107" t="s">
        <v>160</v>
      </c>
      <c r="H107" s="4" t="s">
        <v>492</v>
      </c>
      <c r="I107" s="4" t="s">
        <v>493</v>
      </c>
      <c r="J107" s="23" t="s">
        <v>65</v>
      </c>
      <c r="K107" s="23" t="str">
        <f t="shared" si="2"/>
        <v>DF_NMDI</v>
      </c>
      <c r="L107" s="23"/>
      <c r="M107" s="23"/>
      <c r="N107" s="23"/>
    </row>
    <row r="108" spans="1:16" ht="14.5" x14ac:dyDescent="0.35">
      <c r="A108" s="20">
        <v>105</v>
      </c>
      <c r="B108" s="20">
        <v>1</v>
      </c>
      <c r="C108" s="3" t="s">
        <v>62</v>
      </c>
      <c r="D108" s="3" t="s">
        <v>494</v>
      </c>
      <c r="E108" s="3" t="s">
        <v>495</v>
      </c>
      <c r="F108" s="3"/>
      <c r="G108" s="3" t="s">
        <v>65</v>
      </c>
      <c r="H108" s="3"/>
      <c r="I108" s="3" t="s">
        <v>65</v>
      </c>
      <c r="J108" s="25" t="s">
        <v>65</v>
      </c>
      <c r="K108" s="23" t="str">
        <f t="shared" si="2"/>
        <v>-</v>
      </c>
      <c r="L108" s="23"/>
      <c r="M108" s="23"/>
      <c r="N108" s="23"/>
    </row>
    <row r="109" spans="1:16" ht="14.5" x14ac:dyDescent="0.35">
      <c r="A109" s="20">
        <v>106</v>
      </c>
      <c r="B109" s="20">
        <v>0</v>
      </c>
      <c r="C109" t="s">
        <v>66</v>
      </c>
      <c r="D109" t="s">
        <v>496</v>
      </c>
      <c r="E109" s="29"/>
      <c r="F109" t="s">
        <v>497</v>
      </c>
      <c r="G109" t="s">
        <v>65</v>
      </c>
      <c r="H109" t="s">
        <v>65</v>
      </c>
      <c r="I109" t="s">
        <v>65</v>
      </c>
      <c r="J109" s="23" t="s">
        <v>65</v>
      </c>
      <c r="K109" s="23" t="str">
        <f t="shared" si="2"/>
        <v>-</v>
      </c>
      <c r="L109" s="23"/>
      <c r="M109" s="23" t="s">
        <v>762</v>
      </c>
      <c r="N109" s="23"/>
      <c r="O109" s="4"/>
    </row>
    <row r="110" spans="1:16" ht="14.5" x14ac:dyDescent="0.35">
      <c r="A110" s="20">
        <v>107</v>
      </c>
      <c r="B110" s="20">
        <v>1</v>
      </c>
      <c r="C110" t="s">
        <v>66</v>
      </c>
      <c r="D110" t="s">
        <v>498</v>
      </c>
      <c r="E110" t="s">
        <v>499</v>
      </c>
      <c r="F110" t="s">
        <v>500</v>
      </c>
      <c r="G110" t="s">
        <v>160</v>
      </c>
      <c r="H110" s="21" t="s">
        <v>501</v>
      </c>
      <c r="I110" s="21" t="s">
        <v>502</v>
      </c>
      <c r="J110" s="24" t="s">
        <v>65</v>
      </c>
      <c r="K110" s="24" t="str">
        <f t="shared" si="2"/>
        <v>DF_WBWDI</v>
      </c>
      <c r="L110" s="23" t="s">
        <v>503</v>
      </c>
      <c r="M110" s="23"/>
      <c r="N110" s="23"/>
    </row>
    <row r="111" spans="1:16" ht="14.5" x14ac:dyDescent="0.35">
      <c r="A111" s="20">
        <v>108</v>
      </c>
      <c r="B111" s="20">
        <v>0</v>
      </c>
      <c r="C111" t="s">
        <v>66</v>
      </c>
      <c r="D111" t="s">
        <v>504</v>
      </c>
      <c r="E111" s="28" t="s">
        <v>505</v>
      </c>
      <c r="F111" t="s">
        <v>505</v>
      </c>
      <c r="G111" t="s">
        <v>65</v>
      </c>
      <c r="H111" t="s">
        <v>65</v>
      </c>
      <c r="I111" t="s">
        <v>65</v>
      </c>
      <c r="J111" s="23" t="s">
        <v>65</v>
      </c>
      <c r="K111" s="23" t="str">
        <f t="shared" si="2"/>
        <v>-</v>
      </c>
      <c r="L111" s="23"/>
      <c r="M111" s="33" t="s">
        <v>763</v>
      </c>
      <c r="N111" s="33"/>
    </row>
    <row r="112" spans="1:16" ht="14.5" x14ac:dyDescent="0.35">
      <c r="A112" s="20">
        <v>109</v>
      </c>
      <c r="B112" s="20">
        <v>1</v>
      </c>
      <c r="C112" t="s">
        <v>66</v>
      </c>
      <c r="D112" t="s">
        <v>506</v>
      </c>
      <c r="E112" t="s">
        <v>507</v>
      </c>
      <c r="F112" t="s">
        <v>507</v>
      </c>
      <c r="G112" t="s">
        <v>160</v>
      </c>
      <c r="H112" s="21" t="s">
        <v>508</v>
      </c>
      <c r="I112" s="21" t="s">
        <v>509</v>
      </c>
      <c r="J112" s="24" t="s">
        <v>65</v>
      </c>
      <c r="K112" s="24" t="str">
        <f>IF(I112="-", "-", LEFT(RIGHT(I112, LEN(I112)-FIND("SPC,", I112)-3), FIND(",", RIGHT(I112, LEN(I112)-FIND("SPC,", I112)-3))-1))</f>
        <v>DF_SDG_15</v>
      </c>
      <c r="L112" s="23" t="s">
        <v>510</v>
      </c>
      <c r="M112" s="23"/>
      <c r="N112" s="23"/>
      <c r="P112">
        <v>1</v>
      </c>
    </row>
    <row r="113" spans="1:16" ht="14.5" x14ac:dyDescent="0.35">
      <c r="A113" s="20">
        <v>110</v>
      </c>
      <c r="B113" s="20">
        <v>1</v>
      </c>
      <c r="C113" t="s">
        <v>66</v>
      </c>
      <c r="D113" t="s">
        <v>511</v>
      </c>
      <c r="E113" s="6" t="s">
        <v>512</v>
      </c>
      <c r="F113" t="s">
        <v>513</v>
      </c>
      <c r="G113" t="s">
        <v>160</v>
      </c>
      <c r="H113" s="4" t="s">
        <v>514</v>
      </c>
      <c r="I113" s="4" t="s">
        <v>515</v>
      </c>
      <c r="J113" s="23" t="s">
        <v>65</v>
      </c>
      <c r="K113" s="23" t="str">
        <f t="shared" si="2"/>
        <v>DF_SDG_11</v>
      </c>
      <c r="L113" s="23" t="s">
        <v>183</v>
      </c>
      <c r="M113" s="23"/>
      <c r="N113" s="23"/>
    </row>
    <row r="114" spans="1:16" ht="14.5" x14ac:dyDescent="0.35">
      <c r="A114" s="20">
        <v>111</v>
      </c>
      <c r="B114" s="20">
        <v>1</v>
      </c>
      <c r="C114" t="s">
        <v>66</v>
      </c>
      <c r="D114" t="s">
        <v>516</v>
      </c>
      <c r="E114" s="6" t="s">
        <v>517</v>
      </c>
      <c r="F114" t="s">
        <v>513</v>
      </c>
      <c r="G114" t="s">
        <v>160</v>
      </c>
      <c r="H114" s="4" t="s">
        <v>518</v>
      </c>
      <c r="I114" s="4" t="s">
        <v>519</v>
      </c>
      <c r="J114" s="23" t="s">
        <v>65</v>
      </c>
      <c r="K114" s="23" t="str">
        <f t="shared" si="2"/>
        <v>DF_SDG_11</v>
      </c>
      <c r="L114" s="23" t="s">
        <v>183</v>
      </c>
      <c r="M114" s="23"/>
      <c r="N114" s="23"/>
    </row>
    <row r="115" spans="1:16" ht="14.5" x14ac:dyDescent="0.35">
      <c r="A115" s="20">
        <v>112</v>
      </c>
      <c r="B115" s="20">
        <v>1</v>
      </c>
      <c r="C115" t="s">
        <v>66</v>
      </c>
      <c r="D115" t="s">
        <v>520</v>
      </c>
      <c r="E115" s="29" t="s">
        <v>983</v>
      </c>
      <c r="F115" t="s">
        <v>522</v>
      </c>
      <c r="G115" t="s">
        <v>160</v>
      </c>
      <c r="H115" s="4" t="s">
        <v>985</v>
      </c>
      <c r="I115" s="4" t="s">
        <v>986</v>
      </c>
      <c r="J115" s="23" t="s">
        <v>65</v>
      </c>
      <c r="K115" s="23" t="str">
        <f t="shared" si="2"/>
        <v>DF_SDG_11</v>
      </c>
      <c r="L115" s="23" t="s">
        <v>183</v>
      </c>
      <c r="M115" s="23"/>
      <c r="N115" s="23" t="s">
        <v>988</v>
      </c>
    </row>
    <row r="116" spans="1:16" ht="14.5" x14ac:dyDescent="0.35">
      <c r="A116" s="20">
        <f>A115+1</f>
        <v>113</v>
      </c>
      <c r="B116" s="20">
        <v>1</v>
      </c>
      <c r="C116" t="s">
        <v>66</v>
      </c>
      <c r="D116" t="s">
        <v>525</v>
      </c>
      <c r="E116" s="36" t="s">
        <v>984</v>
      </c>
      <c r="F116" t="s">
        <v>989</v>
      </c>
      <c r="G116" t="s">
        <v>160</v>
      </c>
      <c r="H116" s="4" t="s">
        <v>990</v>
      </c>
      <c r="I116" s="4" t="s">
        <v>991</v>
      </c>
      <c r="J116" s="23" t="s">
        <v>65</v>
      </c>
      <c r="K116" s="23" t="str">
        <f t="shared" si="2"/>
        <v>DF_SDG_11</v>
      </c>
      <c r="L116" s="23"/>
      <c r="M116" s="23"/>
      <c r="N116" s="23" t="s">
        <v>992</v>
      </c>
    </row>
    <row r="117" spans="1:16" ht="14.5" x14ac:dyDescent="0.35">
      <c r="A117" s="20">
        <f t="shared" ref="A117:A171" si="3">A116+1</f>
        <v>114</v>
      </c>
      <c r="B117" s="20">
        <v>1</v>
      </c>
      <c r="C117" t="s">
        <v>66</v>
      </c>
      <c r="D117" t="s">
        <v>529</v>
      </c>
      <c r="E117" t="s">
        <v>526</v>
      </c>
      <c r="F117" t="s">
        <v>526</v>
      </c>
      <c r="G117" t="s">
        <v>160</v>
      </c>
      <c r="H117" s="4" t="s">
        <v>527</v>
      </c>
      <c r="I117" s="4" t="s">
        <v>528</v>
      </c>
      <c r="J117" s="23" t="s">
        <v>65</v>
      </c>
      <c r="K117" s="23" t="str">
        <f t="shared" si="2"/>
        <v>DF_POP_URBAN</v>
      </c>
      <c r="L117" s="23"/>
      <c r="M117" s="23"/>
      <c r="N117" s="23"/>
    </row>
    <row r="118" spans="1:16" ht="14.5" x14ac:dyDescent="0.35">
      <c r="A118" s="20">
        <f t="shared" si="3"/>
        <v>115</v>
      </c>
      <c r="B118" s="20">
        <v>1</v>
      </c>
      <c r="C118" t="s">
        <v>66</v>
      </c>
      <c r="D118" t="s">
        <v>534</v>
      </c>
      <c r="E118" t="s">
        <v>530</v>
      </c>
      <c r="F118" t="s">
        <v>531</v>
      </c>
      <c r="G118" t="s">
        <v>160</v>
      </c>
      <c r="H118" s="4" t="s">
        <v>532</v>
      </c>
      <c r="I118" s="4" t="s">
        <v>533</v>
      </c>
      <c r="J118" s="23" t="s">
        <v>65</v>
      </c>
      <c r="K118" s="23" t="str">
        <f t="shared" si="2"/>
        <v>DF_WBWDI</v>
      </c>
      <c r="L118" s="23"/>
      <c r="M118" s="23"/>
      <c r="N118" s="23"/>
    </row>
    <row r="119" spans="1:16" ht="14.5" x14ac:dyDescent="0.35">
      <c r="A119" s="20">
        <f t="shared" si="3"/>
        <v>116</v>
      </c>
      <c r="B119" s="20">
        <v>1</v>
      </c>
      <c r="C119" t="s">
        <v>66</v>
      </c>
      <c r="D119" t="s">
        <v>539</v>
      </c>
      <c r="E119" t="s">
        <v>535</v>
      </c>
      <c r="F119" t="s">
        <v>536</v>
      </c>
      <c r="G119" t="s">
        <v>160</v>
      </c>
      <c r="H119" s="4" t="s">
        <v>537</v>
      </c>
      <c r="I119" s="4" t="s">
        <v>538</v>
      </c>
      <c r="J119" s="23" t="s">
        <v>65</v>
      </c>
      <c r="K119" s="23" t="str">
        <f t="shared" si="2"/>
        <v>DF_SDG_15</v>
      </c>
      <c r="L119" s="23" t="s">
        <v>183</v>
      </c>
      <c r="M119" s="23"/>
      <c r="N119" s="23"/>
    </row>
    <row r="120" spans="1:16" ht="14.5" x14ac:dyDescent="0.35">
      <c r="A120" s="20">
        <f t="shared" si="3"/>
        <v>117</v>
      </c>
      <c r="B120" s="20">
        <v>0</v>
      </c>
      <c r="C120" t="s">
        <v>66</v>
      </c>
      <c r="D120" t="s">
        <v>982</v>
      </c>
      <c r="E120" s="29" t="s">
        <v>540</v>
      </c>
      <c r="F120" t="s">
        <v>540</v>
      </c>
      <c r="G120" t="s">
        <v>65</v>
      </c>
      <c r="H120" t="s">
        <v>65</v>
      </c>
      <c r="I120" t="s">
        <v>65</v>
      </c>
      <c r="J120" s="23" t="s">
        <v>65</v>
      </c>
      <c r="K120" s="23" t="str">
        <f t="shared" si="2"/>
        <v>-</v>
      </c>
      <c r="L120" s="23"/>
      <c r="M120" s="33" t="s">
        <v>764</v>
      </c>
      <c r="N120" s="33"/>
    </row>
    <row r="121" spans="1:16" ht="14.5" x14ac:dyDescent="0.35">
      <c r="A121" s="20">
        <f t="shared" si="3"/>
        <v>118</v>
      </c>
      <c r="B121" s="20">
        <v>0</v>
      </c>
      <c r="C121" t="s">
        <v>66</v>
      </c>
      <c r="D121" t="s">
        <v>994</v>
      </c>
      <c r="E121" s="29"/>
      <c r="F121" s="36" t="s">
        <v>993</v>
      </c>
      <c r="G121" t="s">
        <v>65</v>
      </c>
      <c r="H121" t="s">
        <v>65</v>
      </c>
      <c r="I121" t="s">
        <v>65</v>
      </c>
      <c r="J121" s="23" t="s">
        <v>65</v>
      </c>
      <c r="K121" s="23" t="s">
        <v>995</v>
      </c>
      <c r="L121" s="23"/>
      <c r="M121" s="37"/>
      <c r="N121" s="38" t="s">
        <v>996</v>
      </c>
    </row>
    <row r="122" spans="1:16" ht="14.5" x14ac:dyDescent="0.35">
      <c r="A122" s="20">
        <f t="shared" si="3"/>
        <v>119</v>
      </c>
      <c r="B122" s="20">
        <v>1</v>
      </c>
      <c r="C122" s="3" t="s">
        <v>62</v>
      </c>
      <c r="D122" s="3" t="s">
        <v>541</v>
      </c>
      <c r="E122" s="3" t="s">
        <v>542</v>
      </c>
      <c r="F122" s="3"/>
      <c r="G122" s="3" t="s">
        <v>65</v>
      </c>
      <c r="H122" s="3"/>
      <c r="I122" s="3" t="s">
        <v>65</v>
      </c>
      <c r="J122" s="25" t="s">
        <v>65</v>
      </c>
      <c r="K122" s="23" t="str">
        <f t="shared" si="2"/>
        <v>-</v>
      </c>
      <c r="L122" s="23"/>
      <c r="M122" s="23"/>
      <c r="N122" s="23"/>
    </row>
    <row r="123" spans="1:16" ht="14.5" x14ac:dyDescent="0.35">
      <c r="A123" s="20">
        <f t="shared" si="3"/>
        <v>120</v>
      </c>
      <c r="B123" s="20">
        <v>1</v>
      </c>
      <c r="C123" t="s">
        <v>66</v>
      </c>
      <c r="D123" t="s">
        <v>543</v>
      </c>
      <c r="E123" t="s">
        <v>544</v>
      </c>
      <c r="F123" t="s">
        <v>544</v>
      </c>
      <c r="G123" t="s">
        <v>160</v>
      </c>
      <c r="H123" s="4" t="s">
        <v>545</v>
      </c>
      <c r="I123" s="4" t="s">
        <v>546</v>
      </c>
      <c r="J123" s="23" t="s">
        <v>65</v>
      </c>
      <c r="K123" s="23" t="str">
        <f t="shared" si="2"/>
        <v>DF_KEYFACTS</v>
      </c>
      <c r="L123" s="23"/>
      <c r="M123" s="23"/>
      <c r="N123" s="23"/>
    </row>
    <row r="124" spans="1:16" ht="14.5" x14ac:dyDescent="0.35">
      <c r="A124" s="20">
        <f t="shared" si="3"/>
        <v>121</v>
      </c>
      <c r="B124" s="20">
        <v>1</v>
      </c>
      <c r="C124" t="s">
        <v>66</v>
      </c>
      <c r="D124" t="s">
        <v>547</v>
      </c>
      <c r="E124" t="s">
        <v>548</v>
      </c>
      <c r="F124" t="s">
        <v>549</v>
      </c>
      <c r="G124" t="s">
        <v>160</v>
      </c>
      <c r="H124" s="4" t="s">
        <v>550</v>
      </c>
      <c r="I124" s="4" t="s">
        <v>551</v>
      </c>
      <c r="J124" s="23" t="s">
        <v>65</v>
      </c>
      <c r="K124" s="23" t="str">
        <f t="shared" si="2"/>
        <v>DF_SDG_14</v>
      </c>
      <c r="L124" s="23" t="s">
        <v>183</v>
      </c>
      <c r="M124" s="23"/>
      <c r="N124" s="23"/>
    </row>
    <row r="125" spans="1:16" ht="14.5" x14ac:dyDescent="0.35">
      <c r="A125" s="20">
        <f t="shared" si="3"/>
        <v>122</v>
      </c>
      <c r="B125" s="20">
        <v>1</v>
      </c>
      <c r="C125" t="s">
        <v>66</v>
      </c>
      <c r="D125" t="s">
        <v>552</v>
      </c>
      <c r="E125" t="s">
        <v>553</v>
      </c>
      <c r="F125" t="s">
        <v>554</v>
      </c>
      <c r="G125" t="s">
        <v>160</v>
      </c>
      <c r="H125" s="4" t="s">
        <v>555</v>
      </c>
      <c r="I125" s="4" t="s">
        <v>556</v>
      </c>
      <c r="J125" s="23" t="s">
        <v>65</v>
      </c>
      <c r="K125" s="23" t="str">
        <f t="shared" si="2"/>
        <v>DF_SDG_14</v>
      </c>
      <c r="L125" s="23" t="s">
        <v>183</v>
      </c>
      <c r="M125" s="23"/>
      <c r="N125" s="23"/>
      <c r="P125">
        <v>1</v>
      </c>
    </row>
    <row r="126" spans="1:16" ht="14.5" x14ac:dyDescent="0.35">
      <c r="A126" s="20">
        <f t="shared" si="3"/>
        <v>123</v>
      </c>
      <c r="B126" s="20">
        <v>1</v>
      </c>
      <c r="C126" t="s">
        <v>66</v>
      </c>
      <c r="D126" t="s">
        <v>557</v>
      </c>
      <c r="E126" t="s">
        <v>558</v>
      </c>
      <c r="F126" t="s">
        <v>559</v>
      </c>
      <c r="G126" t="s">
        <v>160</v>
      </c>
      <c r="H126" s="4" t="s">
        <v>560</v>
      </c>
      <c r="I126" s="4" t="s">
        <v>561</v>
      </c>
      <c r="J126" s="23" t="s">
        <v>65</v>
      </c>
      <c r="K126" s="23" t="str">
        <f t="shared" si="2"/>
        <v>DF_SDG_14</v>
      </c>
      <c r="L126" s="23" t="s">
        <v>183</v>
      </c>
      <c r="M126" s="23"/>
      <c r="N126" s="23"/>
    </row>
    <row r="127" spans="1:16" ht="14.5" x14ac:dyDescent="0.35">
      <c r="A127" s="20">
        <f t="shared" si="3"/>
        <v>124</v>
      </c>
      <c r="B127" s="20">
        <v>0</v>
      </c>
      <c r="C127" t="s">
        <v>66</v>
      </c>
      <c r="D127" t="s">
        <v>562</v>
      </c>
      <c r="E127" t="s">
        <v>65</v>
      </c>
      <c r="F127" t="s">
        <v>563</v>
      </c>
      <c r="G127" t="s">
        <v>65</v>
      </c>
      <c r="H127" t="s">
        <v>65</v>
      </c>
      <c r="I127" t="s">
        <v>65</v>
      </c>
      <c r="J127" s="23" t="s">
        <v>65</v>
      </c>
      <c r="K127" s="23" t="str">
        <f t="shared" si="2"/>
        <v>-</v>
      </c>
      <c r="L127" s="23"/>
      <c r="M127" s="33" t="s">
        <v>765</v>
      </c>
      <c r="N127" s="33"/>
    </row>
    <row r="128" spans="1:16" ht="14.5" x14ac:dyDescent="0.35">
      <c r="A128" s="20">
        <f t="shared" si="3"/>
        <v>125</v>
      </c>
      <c r="B128" s="20">
        <v>0</v>
      </c>
      <c r="C128" t="s">
        <v>66</v>
      </c>
      <c r="D128" t="s">
        <v>564</v>
      </c>
      <c r="E128" t="s">
        <v>65</v>
      </c>
      <c r="F128" t="s">
        <v>565</v>
      </c>
      <c r="G128" t="s">
        <v>65</v>
      </c>
      <c r="H128" t="s">
        <v>65</v>
      </c>
      <c r="I128" t="s">
        <v>65</v>
      </c>
      <c r="J128" s="23" t="s">
        <v>65</v>
      </c>
      <c r="K128" s="23" t="str">
        <f t="shared" si="2"/>
        <v>-</v>
      </c>
      <c r="L128" s="23"/>
      <c r="M128" s="23" t="s">
        <v>766</v>
      </c>
      <c r="N128" s="23"/>
    </row>
    <row r="129" spans="1:16" ht="14.5" x14ac:dyDescent="0.35">
      <c r="A129" s="20">
        <f t="shared" si="3"/>
        <v>126</v>
      </c>
      <c r="B129" s="20">
        <v>0</v>
      </c>
      <c r="C129" t="s">
        <v>66</v>
      </c>
      <c r="D129" t="s">
        <v>566</v>
      </c>
      <c r="E129" t="s">
        <v>65</v>
      </c>
      <c r="F129" t="s">
        <v>567</v>
      </c>
      <c r="G129" t="s">
        <v>65</v>
      </c>
      <c r="H129" t="s">
        <v>65</v>
      </c>
      <c r="I129" t="s">
        <v>65</v>
      </c>
      <c r="J129" s="23" t="s">
        <v>65</v>
      </c>
      <c r="K129" s="23" t="str">
        <f t="shared" si="2"/>
        <v>-</v>
      </c>
      <c r="L129" s="23"/>
      <c r="M129" s="23" t="s">
        <v>766</v>
      </c>
      <c r="N129" s="23"/>
    </row>
    <row r="130" spans="1:16" ht="14.5" x14ac:dyDescent="0.35">
      <c r="A130" s="20">
        <f t="shared" si="3"/>
        <v>127</v>
      </c>
      <c r="B130" s="20">
        <v>1</v>
      </c>
      <c r="C130" t="s">
        <v>66</v>
      </c>
      <c r="D130" t="s">
        <v>568</v>
      </c>
      <c r="E130" t="s">
        <v>569</v>
      </c>
      <c r="F130" t="s">
        <v>570</v>
      </c>
      <c r="G130" t="s">
        <v>160</v>
      </c>
      <c r="H130" s="4" t="s">
        <v>571</v>
      </c>
      <c r="I130" s="4" t="s">
        <v>572</v>
      </c>
      <c r="J130" s="23"/>
      <c r="K130" s="23" t="str">
        <f t="shared" si="2"/>
        <v>DF_TRADE_FOOD</v>
      </c>
      <c r="L130" s="23" t="s">
        <v>116</v>
      </c>
      <c r="M130" s="23"/>
      <c r="N130" s="23"/>
    </row>
    <row r="131" spans="1:16" ht="14.5" x14ac:dyDescent="0.35">
      <c r="A131" s="20">
        <f t="shared" si="3"/>
        <v>128</v>
      </c>
      <c r="B131" s="20">
        <v>1</v>
      </c>
      <c r="C131" t="s">
        <v>66</v>
      </c>
      <c r="D131" t="s">
        <v>573</v>
      </c>
      <c r="E131" t="s">
        <v>574</v>
      </c>
      <c r="F131" t="s">
        <v>570</v>
      </c>
      <c r="G131" t="s">
        <v>160</v>
      </c>
      <c r="H131" s="4" t="s">
        <v>575</v>
      </c>
      <c r="I131" s="4" t="s">
        <v>576</v>
      </c>
      <c r="J131" s="23" t="s">
        <v>65</v>
      </c>
      <c r="K131" s="23" t="str">
        <f t="shared" si="2"/>
        <v>DF_TRADE_FOOD</v>
      </c>
      <c r="L131" s="23" t="s">
        <v>116</v>
      </c>
      <c r="M131" s="23"/>
      <c r="N131" s="23"/>
    </row>
    <row r="132" spans="1:16" ht="14.5" x14ac:dyDescent="0.35">
      <c r="A132" s="20">
        <f t="shared" si="3"/>
        <v>129</v>
      </c>
      <c r="B132" s="20">
        <v>1</v>
      </c>
      <c r="C132" s="3" t="s">
        <v>62</v>
      </c>
      <c r="D132" s="3" t="s">
        <v>577</v>
      </c>
      <c r="E132" s="3" t="s">
        <v>578</v>
      </c>
      <c r="F132" s="3"/>
      <c r="G132" s="3" t="s">
        <v>65</v>
      </c>
      <c r="H132" s="3"/>
      <c r="I132" s="3" t="s">
        <v>65</v>
      </c>
      <c r="J132" s="25" t="s">
        <v>65</v>
      </c>
      <c r="K132" s="23" t="str">
        <f t="shared" si="2"/>
        <v>-</v>
      </c>
      <c r="L132" s="23"/>
      <c r="M132" s="23"/>
      <c r="N132" s="23"/>
    </row>
    <row r="133" spans="1:16" ht="14.5" x14ac:dyDescent="0.35">
      <c r="A133" s="20">
        <f t="shared" si="3"/>
        <v>130</v>
      </c>
      <c r="B133" s="20">
        <v>1</v>
      </c>
      <c r="C133" t="s">
        <v>66</v>
      </c>
      <c r="D133" t="s">
        <v>579</v>
      </c>
      <c r="E133" t="s">
        <v>580</v>
      </c>
      <c r="F133" t="s">
        <v>580</v>
      </c>
      <c r="G133" t="s">
        <v>160</v>
      </c>
      <c r="H133" s="4" t="s">
        <v>581</v>
      </c>
      <c r="I133" s="4" t="s">
        <v>582</v>
      </c>
      <c r="J133" s="23" t="s">
        <v>65</v>
      </c>
      <c r="K133" s="23" t="str">
        <f t="shared" si="2"/>
        <v>DF_WBWGI</v>
      </c>
      <c r="L133" s="23"/>
      <c r="M133" s="23"/>
      <c r="N133" s="23"/>
      <c r="P133">
        <v>1</v>
      </c>
    </row>
    <row r="134" spans="1:16" ht="14.5" x14ac:dyDescent="0.35">
      <c r="A134" s="20">
        <f t="shared" si="3"/>
        <v>131</v>
      </c>
      <c r="B134" s="20">
        <v>1</v>
      </c>
      <c r="C134" t="s">
        <v>66</v>
      </c>
      <c r="D134" t="s">
        <v>583</v>
      </c>
      <c r="E134" t="s">
        <v>584</v>
      </c>
      <c r="F134" t="s">
        <v>584</v>
      </c>
      <c r="G134" t="s">
        <v>160</v>
      </c>
      <c r="H134" s="4" t="s">
        <v>585</v>
      </c>
      <c r="I134" s="4" t="s">
        <v>586</v>
      </c>
      <c r="J134" s="23" t="s">
        <v>65</v>
      </c>
      <c r="K134" s="23" t="str">
        <f t="shared" si="2"/>
        <v>DF_WBWGI</v>
      </c>
      <c r="L134" s="23"/>
      <c r="M134" s="23"/>
      <c r="N134" s="23"/>
      <c r="P134">
        <v>1</v>
      </c>
    </row>
    <row r="135" spans="1:16" ht="14.5" x14ac:dyDescent="0.35">
      <c r="A135" s="20">
        <f t="shared" si="3"/>
        <v>132</v>
      </c>
      <c r="B135" s="20">
        <v>1</v>
      </c>
      <c r="C135" t="s">
        <v>66</v>
      </c>
      <c r="D135" t="s">
        <v>587</v>
      </c>
      <c r="E135" t="s">
        <v>588</v>
      </c>
      <c r="F135" t="s">
        <v>588</v>
      </c>
      <c r="G135" t="s">
        <v>160</v>
      </c>
      <c r="H135" s="4" t="s">
        <v>589</v>
      </c>
      <c r="I135" s="4" t="s">
        <v>590</v>
      </c>
      <c r="J135" s="23" t="s">
        <v>65</v>
      </c>
      <c r="K135" s="23" t="str">
        <f t="shared" si="2"/>
        <v>DF_WBWGI</v>
      </c>
      <c r="L135" s="23"/>
      <c r="M135" s="23"/>
      <c r="N135" s="23"/>
      <c r="P135">
        <v>1</v>
      </c>
    </row>
    <row r="136" spans="1:16" ht="14.5" x14ac:dyDescent="0.35">
      <c r="A136" s="20">
        <f t="shared" si="3"/>
        <v>133</v>
      </c>
      <c r="B136" s="20">
        <v>1</v>
      </c>
      <c r="C136" t="s">
        <v>66</v>
      </c>
      <c r="D136" t="s">
        <v>591</v>
      </c>
      <c r="E136" t="s">
        <v>592</v>
      </c>
      <c r="F136" t="s">
        <v>592</v>
      </c>
      <c r="G136" t="s">
        <v>160</v>
      </c>
      <c r="H136" s="4" t="s">
        <v>593</v>
      </c>
      <c r="I136" s="4" t="s">
        <v>594</v>
      </c>
      <c r="J136" s="23" t="s">
        <v>65</v>
      </c>
      <c r="K136" s="23" t="str">
        <f t="shared" si="2"/>
        <v>DF_WBWGI</v>
      </c>
      <c r="L136" s="23"/>
      <c r="M136" s="23"/>
      <c r="N136" s="23"/>
      <c r="P136">
        <v>1</v>
      </c>
    </row>
    <row r="137" spans="1:16" ht="14.5" x14ac:dyDescent="0.35">
      <c r="A137" s="20">
        <f t="shared" si="3"/>
        <v>134</v>
      </c>
      <c r="B137" s="20">
        <v>1</v>
      </c>
      <c r="C137" t="s">
        <v>66</v>
      </c>
      <c r="D137" t="s">
        <v>595</v>
      </c>
      <c r="E137" t="s">
        <v>596</v>
      </c>
      <c r="F137" t="s">
        <v>596</v>
      </c>
      <c r="G137" t="s">
        <v>160</v>
      </c>
      <c r="H137" s="4" t="s">
        <v>597</v>
      </c>
      <c r="I137" s="4" t="s">
        <v>598</v>
      </c>
      <c r="J137" s="23" t="s">
        <v>65</v>
      </c>
      <c r="K137" s="23" t="str">
        <f t="shared" si="2"/>
        <v>DF_WBWGI</v>
      </c>
      <c r="L137" s="23"/>
      <c r="M137" s="23"/>
      <c r="N137" s="23"/>
      <c r="P137">
        <v>1</v>
      </c>
    </row>
    <row r="138" spans="1:16" ht="14.5" x14ac:dyDescent="0.35">
      <c r="A138" s="20">
        <f t="shared" si="3"/>
        <v>135</v>
      </c>
      <c r="B138" s="20">
        <v>1</v>
      </c>
      <c r="C138" t="s">
        <v>66</v>
      </c>
      <c r="D138" t="s">
        <v>599</v>
      </c>
      <c r="E138" t="s">
        <v>600</v>
      </c>
      <c r="F138" t="s">
        <v>600</v>
      </c>
      <c r="G138" t="s">
        <v>160</v>
      </c>
      <c r="H138" s="4" t="s">
        <v>601</v>
      </c>
      <c r="I138" s="4" t="s">
        <v>602</v>
      </c>
      <c r="J138" s="23" t="s">
        <v>65</v>
      </c>
      <c r="K138" s="23" t="str">
        <f t="shared" si="2"/>
        <v>DF_WBWGI</v>
      </c>
      <c r="L138" s="23"/>
      <c r="M138" s="23"/>
      <c r="N138" s="23"/>
      <c r="P138">
        <v>1</v>
      </c>
    </row>
    <row r="139" spans="1:16" ht="14.5" x14ac:dyDescent="0.35">
      <c r="A139" s="20">
        <f t="shared" si="3"/>
        <v>136</v>
      </c>
      <c r="B139" s="20">
        <v>1</v>
      </c>
      <c r="C139" t="s">
        <v>66</v>
      </c>
      <c r="D139" t="s">
        <v>603</v>
      </c>
      <c r="E139" t="s">
        <v>604</v>
      </c>
      <c r="F139" t="s">
        <v>605</v>
      </c>
      <c r="G139" t="s">
        <v>160</v>
      </c>
      <c r="H139" s="4" t="s">
        <v>606</v>
      </c>
      <c r="I139" s="4" t="s">
        <v>607</v>
      </c>
      <c r="J139" s="23" t="s">
        <v>65</v>
      </c>
      <c r="K139" s="23" t="str">
        <f t="shared" si="2"/>
        <v>DF_PRISON</v>
      </c>
      <c r="L139" s="23"/>
      <c r="M139" s="23"/>
      <c r="N139" s="23"/>
    </row>
    <row r="140" spans="1:16" ht="14.5" x14ac:dyDescent="0.35">
      <c r="A140" s="20">
        <f t="shared" si="3"/>
        <v>137</v>
      </c>
      <c r="B140" s="20">
        <v>1</v>
      </c>
      <c r="C140" t="s">
        <v>66</v>
      </c>
      <c r="D140" t="s">
        <v>608</v>
      </c>
      <c r="E140" t="s">
        <v>609</v>
      </c>
      <c r="F140" t="s">
        <v>610</v>
      </c>
      <c r="G140" t="s">
        <v>160</v>
      </c>
      <c r="H140" s="4" t="s">
        <v>611</v>
      </c>
      <c r="I140" s="4" t="s">
        <v>612</v>
      </c>
      <c r="J140" s="23" t="s">
        <v>65</v>
      </c>
      <c r="K140" s="23" t="str">
        <f t="shared" si="2"/>
        <v>DF_SDG_16</v>
      </c>
      <c r="L140" s="23" t="s">
        <v>252</v>
      </c>
      <c r="M140" s="23"/>
      <c r="N140" s="23"/>
    </row>
    <row r="141" spans="1:16" ht="14.5" x14ac:dyDescent="0.35">
      <c r="A141" s="20">
        <f t="shared" si="3"/>
        <v>138</v>
      </c>
      <c r="B141" s="20">
        <v>1</v>
      </c>
      <c r="C141" t="s">
        <v>66</v>
      </c>
      <c r="D141" t="s">
        <v>613</v>
      </c>
      <c r="E141" t="s">
        <v>614</v>
      </c>
      <c r="F141" t="s">
        <v>610</v>
      </c>
      <c r="G141" t="s">
        <v>160</v>
      </c>
      <c r="H141" s="4" t="s">
        <v>615</v>
      </c>
      <c r="I141" s="4" t="s">
        <v>616</v>
      </c>
      <c r="J141" s="23" t="s">
        <v>65</v>
      </c>
      <c r="K141" s="23" t="str">
        <f t="shared" si="2"/>
        <v>DF_SDG_16</v>
      </c>
      <c r="L141" s="23" t="s">
        <v>252</v>
      </c>
      <c r="M141" s="23"/>
      <c r="N141" s="23"/>
    </row>
    <row r="142" spans="1:16" ht="14.5" x14ac:dyDescent="0.35">
      <c r="A142" s="20">
        <f t="shared" si="3"/>
        <v>139</v>
      </c>
      <c r="B142" s="20">
        <v>1</v>
      </c>
      <c r="C142" t="s">
        <v>66</v>
      </c>
      <c r="D142" t="s">
        <v>617</v>
      </c>
      <c r="E142" t="s">
        <v>618</v>
      </c>
      <c r="F142" t="s">
        <v>619</v>
      </c>
      <c r="G142" t="s">
        <v>160</v>
      </c>
      <c r="H142" s="4" t="s">
        <v>620</v>
      </c>
      <c r="I142" s="4" t="s">
        <v>621</v>
      </c>
      <c r="J142" s="23" t="s">
        <v>65</v>
      </c>
      <c r="K142" s="23" t="str">
        <f t="shared" si="2"/>
        <v>DF_SDG_16</v>
      </c>
      <c r="L142" s="23" t="s">
        <v>252</v>
      </c>
      <c r="M142" s="23"/>
      <c r="N142" s="23"/>
    </row>
    <row r="143" spans="1:16" ht="14.5" x14ac:dyDescent="0.35">
      <c r="A143" s="20">
        <f t="shared" si="3"/>
        <v>140</v>
      </c>
      <c r="B143" s="20">
        <v>0</v>
      </c>
      <c r="C143" t="s">
        <v>66</v>
      </c>
      <c r="D143" t="s">
        <v>622</v>
      </c>
      <c r="E143" t="s">
        <v>65</v>
      </c>
      <c r="F143" t="s">
        <v>623</v>
      </c>
      <c r="G143" t="s">
        <v>65</v>
      </c>
      <c r="H143" t="s">
        <v>65</v>
      </c>
      <c r="I143" t="s">
        <v>65</v>
      </c>
      <c r="J143" s="23" t="s">
        <v>65</v>
      </c>
      <c r="K143" s="23" t="str">
        <f t="shared" si="2"/>
        <v>-</v>
      </c>
      <c r="L143" s="23"/>
      <c r="M143" s="23" t="s">
        <v>767</v>
      </c>
      <c r="N143" s="23"/>
    </row>
    <row r="144" spans="1:16" ht="14.5" x14ac:dyDescent="0.35">
      <c r="A144" s="20">
        <f t="shared" si="3"/>
        <v>141</v>
      </c>
      <c r="B144" s="20">
        <v>0</v>
      </c>
      <c r="C144" t="s">
        <v>66</v>
      </c>
      <c r="D144" t="s">
        <v>624</v>
      </c>
      <c r="E144" t="s">
        <v>65</v>
      </c>
      <c r="F144" t="s">
        <v>625</v>
      </c>
      <c r="G144" t="s">
        <v>65</v>
      </c>
      <c r="H144" t="s">
        <v>65</v>
      </c>
      <c r="I144" t="s">
        <v>65</v>
      </c>
      <c r="J144" s="23" t="s">
        <v>65</v>
      </c>
      <c r="K144" s="23" t="str">
        <f t="shared" si="2"/>
        <v>-</v>
      </c>
      <c r="L144" s="23"/>
      <c r="M144" s="23" t="s">
        <v>732</v>
      </c>
      <c r="N144" s="23"/>
    </row>
    <row r="145" spans="1:16" ht="14.5" x14ac:dyDescent="0.35">
      <c r="A145" s="20">
        <f t="shared" si="3"/>
        <v>142</v>
      </c>
      <c r="B145" s="20">
        <v>1</v>
      </c>
      <c r="C145" s="3" t="s">
        <v>62</v>
      </c>
      <c r="D145" s="3" t="s">
        <v>626</v>
      </c>
      <c r="E145" s="3" t="s">
        <v>627</v>
      </c>
      <c r="F145" s="3"/>
      <c r="G145" s="3" t="s">
        <v>65</v>
      </c>
      <c r="H145" s="3"/>
      <c r="I145" s="3" t="s">
        <v>65</v>
      </c>
      <c r="J145" s="25" t="s">
        <v>65</v>
      </c>
      <c r="K145" s="23" t="str">
        <f t="shared" si="2"/>
        <v>-</v>
      </c>
      <c r="L145" s="23"/>
      <c r="M145" s="23"/>
      <c r="N145" s="23"/>
    </row>
    <row r="146" spans="1:16" ht="14.5" x14ac:dyDescent="0.35">
      <c r="A146" s="20">
        <f t="shared" si="3"/>
        <v>143</v>
      </c>
      <c r="B146" s="20">
        <v>1</v>
      </c>
      <c r="C146" t="s">
        <v>66</v>
      </c>
      <c r="D146" t="s">
        <v>628</v>
      </c>
      <c r="E146" t="s">
        <v>629</v>
      </c>
      <c r="F146" t="s">
        <v>630</v>
      </c>
      <c r="G146" t="s">
        <v>160</v>
      </c>
      <c r="H146" s="4" t="s">
        <v>631</v>
      </c>
      <c r="I146" s="4" t="s">
        <v>632</v>
      </c>
      <c r="J146" s="23" t="s">
        <v>65</v>
      </c>
      <c r="K146" s="23" t="str">
        <f t="shared" si="2"/>
        <v>DF_SDG_16</v>
      </c>
      <c r="L146" s="23" t="s">
        <v>183</v>
      </c>
      <c r="M146" s="23"/>
      <c r="N146" s="23"/>
    </row>
    <row r="147" spans="1:16" ht="14.5" x14ac:dyDescent="0.35">
      <c r="A147" s="20">
        <f t="shared" si="3"/>
        <v>144</v>
      </c>
      <c r="B147" s="20">
        <v>1</v>
      </c>
      <c r="C147" t="s">
        <v>66</v>
      </c>
      <c r="D147" t="s">
        <v>633</v>
      </c>
      <c r="E147" t="s">
        <v>634</v>
      </c>
      <c r="F147" t="s">
        <v>635</v>
      </c>
      <c r="G147" t="s">
        <v>160</v>
      </c>
      <c r="H147" s="4" t="s">
        <v>636</v>
      </c>
      <c r="I147" s="4" t="s">
        <v>637</v>
      </c>
      <c r="J147" s="23" t="s">
        <v>65</v>
      </c>
      <c r="K147" s="23" t="str">
        <f t="shared" si="2"/>
        <v>DF_SDG_16</v>
      </c>
      <c r="L147" s="23" t="s">
        <v>252</v>
      </c>
      <c r="M147" s="23"/>
      <c r="N147" s="23"/>
    </row>
    <row r="148" spans="1:16" ht="116" x14ac:dyDescent="0.35">
      <c r="A148" s="20">
        <f t="shared" si="3"/>
        <v>145</v>
      </c>
      <c r="B148" s="20">
        <v>0</v>
      </c>
      <c r="C148" t="s">
        <v>66</v>
      </c>
      <c r="D148" t="s">
        <v>638</v>
      </c>
      <c r="E148" t="s">
        <v>65</v>
      </c>
      <c r="F148" t="s">
        <v>639</v>
      </c>
      <c r="G148" t="s">
        <v>65</v>
      </c>
      <c r="H148" t="s">
        <v>65</v>
      </c>
      <c r="I148" t="s">
        <v>65</v>
      </c>
      <c r="J148" s="23" t="s">
        <v>65</v>
      </c>
      <c r="K148" s="23" t="str">
        <f t="shared" si="2"/>
        <v>-</v>
      </c>
      <c r="L148" s="23"/>
      <c r="M148" s="34" t="s">
        <v>768</v>
      </c>
      <c r="N148" s="34"/>
      <c r="O148" s="4" t="s">
        <v>769</v>
      </c>
    </row>
    <row r="149" spans="1:16" ht="14.5" x14ac:dyDescent="0.35">
      <c r="A149" s="20">
        <f t="shared" si="3"/>
        <v>146</v>
      </c>
      <c r="B149" s="20">
        <v>1</v>
      </c>
      <c r="C149" s="3" t="s">
        <v>62</v>
      </c>
      <c r="D149" s="3" t="s">
        <v>640</v>
      </c>
      <c r="E149" s="3" t="s">
        <v>641</v>
      </c>
      <c r="F149" s="3"/>
      <c r="G149" s="3" t="s">
        <v>65</v>
      </c>
      <c r="H149" s="3"/>
      <c r="I149" s="3" t="s">
        <v>65</v>
      </c>
      <c r="J149" s="25" t="s">
        <v>65</v>
      </c>
      <c r="K149" s="23" t="str">
        <f t="shared" si="2"/>
        <v>-</v>
      </c>
      <c r="L149" s="23"/>
      <c r="M149" s="23"/>
      <c r="N149" s="23"/>
    </row>
    <row r="150" spans="1:16" ht="14.5" x14ac:dyDescent="0.35">
      <c r="A150" s="20">
        <f t="shared" si="3"/>
        <v>147</v>
      </c>
      <c r="B150" s="20">
        <v>1</v>
      </c>
      <c r="C150" t="s">
        <v>66</v>
      </c>
      <c r="D150" t="s">
        <v>642</v>
      </c>
      <c r="E150" t="s">
        <v>643</v>
      </c>
      <c r="F150" t="s">
        <v>644</v>
      </c>
      <c r="G150" t="s">
        <v>160</v>
      </c>
      <c r="H150" s="5" t="s">
        <v>645</v>
      </c>
      <c r="I150" s="5" t="s">
        <v>646</v>
      </c>
      <c r="J150" s="23" t="s">
        <v>65</v>
      </c>
      <c r="K150" s="23" t="str">
        <f t="shared" si="2"/>
        <v>DF_VITAL</v>
      </c>
      <c r="L150" s="23"/>
      <c r="M150" s="23"/>
      <c r="N150" s="23"/>
      <c r="P150">
        <v>1</v>
      </c>
    </row>
    <row r="151" spans="1:16" ht="14.5" x14ac:dyDescent="0.35">
      <c r="A151" s="20">
        <f t="shared" si="3"/>
        <v>148</v>
      </c>
      <c r="B151" s="20">
        <v>1</v>
      </c>
      <c r="C151" t="s">
        <v>66</v>
      </c>
      <c r="D151" t="s">
        <v>647</v>
      </c>
      <c r="E151" t="s">
        <v>648</v>
      </c>
      <c r="F151" t="s">
        <v>649</v>
      </c>
      <c r="G151" t="s">
        <v>160</v>
      </c>
      <c r="H151" s="5" t="s">
        <v>650</v>
      </c>
      <c r="I151" s="5" t="s">
        <v>651</v>
      </c>
      <c r="J151" s="23" t="s">
        <v>65</v>
      </c>
      <c r="K151" s="23" t="str">
        <f t="shared" si="2"/>
        <v>DF_SDG_05</v>
      </c>
      <c r="L151" s="23" t="s">
        <v>183</v>
      </c>
      <c r="M151" s="23"/>
      <c r="N151" s="23"/>
      <c r="P151">
        <v>1</v>
      </c>
    </row>
    <row r="152" spans="1:16" ht="14.5" x14ac:dyDescent="0.35">
      <c r="A152" s="20">
        <f t="shared" si="3"/>
        <v>149</v>
      </c>
      <c r="B152" s="20">
        <v>1</v>
      </c>
      <c r="C152" t="s">
        <v>66</v>
      </c>
      <c r="D152" t="s">
        <v>652</v>
      </c>
      <c r="E152" t="s">
        <v>653</v>
      </c>
      <c r="F152" t="s">
        <v>654</v>
      </c>
      <c r="G152" t="s">
        <v>160</v>
      </c>
      <c r="H152" s="5" t="s">
        <v>655</v>
      </c>
      <c r="I152" s="5" t="s">
        <v>656</v>
      </c>
      <c r="J152" s="23" t="s">
        <v>65</v>
      </c>
      <c r="K152" s="23" t="str">
        <f t="shared" si="2"/>
        <v>DF_WBWDI</v>
      </c>
      <c r="L152" s="23"/>
      <c r="M152" s="23"/>
      <c r="N152" s="23"/>
    </row>
    <row r="153" spans="1:16" ht="14.5" x14ac:dyDescent="0.35">
      <c r="A153" s="20">
        <f t="shared" si="3"/>
        <v>150</v>
      </c>
      <c r="B153" s="20">
        <v>1</v>
      </c>
      <c r="C153" t="s">
        <v>66</v>
      </c>
      <c r="D153" t="s">
        <v>657</v>
      </c>
      <c r="E153" t="s">
        <v>658</v>
      </c>
      <c r="F153" t="s">
        <v>659</v>
      </c>
      <c r="G153" t="s">
        <v>160</v>
      </c>
      <c r="H153" s="5" t="s">
        <v>660</v>
      </c>
      <c r="I153" s="5" t="s">
        <v>661</v>
      </c>
      <c r="J153" s="23" t="s">
        <v>65</v>
      </c>
      <c r="K153" s="23" t="str">
        <f t="shared" si="2"/>
        <v>DF_SDG_05</v>
      </c>
      <c r="L153" s="23" t="s">
        <v>183</v>
      </c>
      <c r="M153" s="23"/>
      <c r="N153" s="23"/>
      <c r="P153">
        <v>1</v>
      </c>
    </row>
    <row r="154" spans="1:16" ht="14.5" x14ac:dyDescent="0.35">
      <c r="A154" s="20">
        <f t="shared" si="3"/>
        <v>151</v>
      </c>
      <c r="B154" s="20">
        <v>1</v>
      </c>
      <c r="C154" t="s">
        <v>66</v>
      </c>
      <c r="D154" t="s">
        <v>662</v>
      </c>
      <c r="E154" t="s">
        <v>663</v>
      </c>
      <c r="F154" t="s">
        <v>664</v>
      </c>
      <c r="G154" t="s">
        <v>160</v>
      </c>
      <c r="H154" s="5" t="s">
        <v>665</v>
      </c>
      <c r="I154" s="5" t="s">
        <v>666</v>
      </c>
      <c r="J154" s="23" t="s">
        <v>65</v>
      </c>
      <c r="K154" s="23" t="str">
        <f t="shared" si="2"/>
        <v>DF_SDG_05</v>
      </c>
      <c r="L154" s="23" t="s">
        <v>183</v>
      </c>
      <c r="M154" s="23"/>
      <c r="N154" s="23"/>
      <c r="P154">
        <v>1</v>
      </c>
    </row>
    <row r="155" spans="1:16" ht="14.5" x14ac:dyDescent="0.35">
      <c r="A155" s="20">
        <f t="shared" si="3"/>
        <v>152</v>
      </c>
      <c r="B155" s="20">
        <v>1</v>
      </c>
      <c r="C155" t="s">
        <v>66</v>
      </c>
      <c r="D155" t="s">
        <v>667</v>
      </c>
      <c r="E155" t="s">
        <v>668</v>
      </c>
      <c r="F155" t="s">
        <v>669</v>
      </c>
      <c r="G155" t="s">
        <v>160</v>
      </c>
      <c r="H155" s="5" t="s">
        <v>670</v>
      </c>
      <c r="I155" s="5" t="s">
        <v>671</v>
      </c>
      <c r="J155" s="23" t="s">
        <v>65</v>
      </c>
      <c r="K155" s="23" t="str">
        <f t="shared" ref="K155:K171" si="4">IF(I155="-", "-", LEFT(RIGHT(I155, LEN(I155)-FIND("SPC,", I155)-3), FIND(",", RIGHT(I155, LEN(I155)-FIND("SPC,", I155)-3))-1))</f>
        <v>DF_SDG_05</v>
      </c>
      <c r="L155" s="23" t="s">
        <v>183</v>
      </c>
      <c r="M155" s="23"/>
      <c r="N155" s="23"/>
      <c r="P155">
        <v>1</v>
      </c>
    </row>
    <row r="156" spans="1:16" ht="14.5" x14ac:dyDescent="0.35">
      <c r="A156" s="20">
        <f t="shared" si="3"/>
        <v>153</v>
      </c>
      <c r="B156" s="20">
        <v>1</v>
      </c>
      <c r="C156" t="s">
        <v>66</v>
      </c>
      <c r="D156" t="s">
        <v>672</v>
      </c>
      <c r="E156" s="6" t="s">
        <v>673</v>
      </c>
      <c r="F156" t="s">
        <v>674</v>
      </c>
      <c r="G156" t="s">
        <v>160</v>
      </c>
      <c r="H156" s="21" t="s">
        <v>675</v>
      </c>
      <c r="I156" s="21" t="s">
        <v>676</v>
      </c>
      <c r="J156" s="24" t="s">
        <v>65</v>
      </c>
      <c r="K156" s="24" t="str">
        <f t="shared" si="4"/>
        <v>DF_EMPRATES</v>
      </c>
      <c r="L156" s="23" t="s">
        <v>677</v>
      </c>
      <c r="M156" s="23"/>
      <c r="N156" s="23"/>
    </row>
    <row r="157" spans="1:16" ht="14.5" x14ac:dyDescent="0.35">
      <c r="A157" s="20">
        <f t="shared" si="3"/>
        <v>154</v>
      </c>
      <c r="B157" s="20">
        <v>1</v>
      </c>
      <c r="C157" t="s">
        <v>66</v>
      </c>
      <c r="D157" t="s">
        <v>678</v>
      </c>
      <c r="E157" s="6" t="s">
        <v>679</v>
      </c>
      <c r="F157" t="s">
        <v>674</v>
      </c>
      <c r="G157" t="s">
        <v>160</v>
      </c>
      <c r="H157" s="21" t="s">
        <v>680</v>
      </c>
      <c r="I157" s="21" t="s">
        <v>681</v>
      </c>
      <c r="J157" s="24" t="s">
        <v>65</v>
      </c>
      <c r="K157" s="24" t="str">
        <f t="shared" si="4"/>
        <v>DF_EMPRATES</v>
      </c>
      <c r="L157" s="23" t="s">
        <v>677</v>
      </c>
      <c r="M157" s="23"/>
      <c r="N157" s="23"/>
    </row>
    <row r="158" spans="1:16" ht="14.5" x14ac:dyDescent="0.35">
      <c r="A158" s="20">
        <f t="shared" si="3"/>
        <v>155</v>
      </c>
      <c r="B158" s="20">
        <v>0</v>
      </c>
      <c r="C158" t="s">
        <v>66</v>
      </c>
      <c r="D158" t="s">
        <v>682</v>
      </c>
      <c r="E158" t="s">
        <v>65</v>
      </c>
      <c r="F158" t="s">
        <v>683</v>
      </c>
      <c r="G158" t="s">
        <v>65</v>
      </c>
      <c r="H158" t="s">
        <v>65</v>
      </c>
      <c r="I158" t="s">
        <v>65</v>
      </c>
      <c r="J158" s="23" t="s">
        <v>65</v>
      </c>
      <c r="K158" s="23" t="str">
        <f t="shared" si="4"/>
        <v>-</v>
      </c>
      <c r="L158" s="23"/>
      <c r="M158" s="31" t="s">
        <v>770</v>
      </c>
      <c r="N158" s="31"/>
      <c r="O158" s="4"/>
    </row>
    <row r="159" spans="1:16" ht="14.5" x14ac:dyDescent="0.35">
      <c r="A159" s="20">
        <f t="shared" si="3"/>
        <v>156</v>
      </c>
      <c r="B159" s="20">
        <v>0</v>
      </c>
      <c r="C159" t="s">
        <v>66</v>
      </c>
      <c r="D159" t="s">
        <v>684</v>
      </c>
      <c r="E159" t="s">
        <v>65</v>
      </c>
      <c r="F159" t="s">
        <v>685</v>
      </c>
      <c r="G159" t="s">
        <v>65</v>
      </c>
      <c r="H159" t="s">
        <v>65</v>
      </c>
      <c r="I159" t="s">
        <v>65</v>
      </c>
      <c r="J159" s="23" t="s">
        <v>65</v>
      </c>
      <c r="K159" s="23" t="str">
        <f t="shared" si="4"/>
        <v>-</v>
      </c>
      <c r="L159" s="23"/>
      <c r="M159" s="23"/>
      <c r="N159" s="23"/>
      <c r="O159" s="4"/>
    </row>
    <row r="160" spans="1:16" ht="14.5" x14ac:dyDescent="0.35">
      <c r="A160" s="20">
        <f t="shared" si="3"/>
        <v>157</v>
      </c>
      <c r="B160" s="20">
        <v>0</v>
      </c>
      <c r="C160" t="s">
        <v>66</v>
      </c>
      <c r="D160" t="s">
        <v>686</v>
      </c>
      <c r="E160" t="s">
        <v>65</v>
      </c>
      <c r="F160" t="s">
        <v>687</v>
      </c>
      <c r="G160" t="s">
        <v>65</v>
      </c>
      <c r="H160" t="s">
        <v>65</v>
      </c>
      <c r="I160" t="s">
        <v>65</v>
      </c>
      <c r="J160" s="23" t="s">
        <v>65</v>
      </c>
      <c r="K160" s="23" t="str">
        <f t="shared" si="4"/>
        <v>-</v>
      </c>
      <c r="L160" s="23"/>
      <c r="M160" s="31" t="s">
        <v>771</v>
      </c>
      <c r="N160" s="31"/>
    </row>
    <row r="161" spans="1:16" ht="14.5" x14ac:dyDescent="0.35">
      <c r="A161" s="20">
        <f t="shared" si="3"/>
        <v>158</v>
      </c>
      <c r="B161" s="20">
        <v>0</v>
      </c>
      <c r="C161" t="s">
        <v>66</v>
      </c>
      <c r="D161" t="s">
        <v>688</v>
      </c>
      <c r="E161" t="s">
        <v>65</v>
      </c>
      <c r="F161" t="s">
        <v>689</v>
      </c>
      <c r="G161" t="s">
        <v>65</v>
      </c>
      <c r="H161" t="s">
        <v>65</v>
      </c>
      <c r="I161" t="s">
        <v>65</v>
      </c>
      <c r="J161" s="23" t="s">
        <v>65</v>
      </c>
      <c r="K161" s="23" t="str">
        <f t="shared" si="4"/>
        <v>-</v>
      </c>
      <c r="L161" s="23"/>
      <c r="M161" s="23"/>
      <c r="N161" s="23"/>
      <c r="O161" s="4"/>
    </row>
    <row r="162" spans="1:16" ht="14.5" x14ac:dyDescent="0.35">
      <c r="A162" s="20">
        <f t="shared" si="3"/>
        <v>159</v>
      </c>
      <c r="B162" s="20">
        <v>0</v>
      </c>
      <c r="C162" t="s">
        <v>66</v>
      </c>
      <c r="D162" t="s">
        <v>690</v>
      </c>
      <c r="E162" t="s">
        <v>772</v>
      </c>
      <c r="F162" t="s">
        <v>691</v>
      </c>
      <c r="G162" t="s">
        <v>160</v>
      </c>
      <c r="H162" s="4" t="s">
        <v>773</v>
      </c>
      <c r="I162" s="4" t="s">
        <v>774</v>
      </c>
      <c r="J162" s="23" t="s">
        <v>65</v>
      </c>
      <c r="K162" s="23" t="str">
        <f t="shared" si="4"/>
        <v>DF_SDG_01</v>
      </c>
      <c r="L162" s="23"/>
      <c r="M162" s="32" t="s">
        <v>775</v>
      </c>
      <c r="N162" s="32"/>
    </row>
    <row r="163" spans="1:16" ht="14.5" x14ac:dyDescent="0.35">
      <c r="A163" s="20">
        <f t="shared" si="3"/>
        <v>160</v>
      </c>
      <c r="B163" s="20">
        <v>0</v>
      </c>
      <c r="C163" t="s">
        <v>66</v>
      </c>
      <c r="D163" t="s">
        <v>692</v>
      </c>
      <c r="E163" t="s">
        <v>776</v>
      </c>
      <c r="G163" t="s">
        <v>160</v>
      </c>
      <c r="H163" s="4" t="s">
        <v>777</v>
      </c>
      <c r="I163" s="4" t="s">
        <v>778</v>
      </c>
      <c r="J163" s="23" t="s">
        <v>65</v>
      </c>
      <c r="K163" s="23" t="str">
        <f t="shared" si="4"/>
        <v>DF_SDG_01</v>
      </c>
      <c r="L163" s="23"/>
      <c r="M163" s="32" t="s">
        <v>775</v>
      </c>
      <c r="N163" s="32"/>
    </row>
    <row r="164" spans="1:16" ht="14.5" x14ac:dyDescent="0.35">
      <c r="A164" s="20">
        <f t="shared" si="3"/>
        <v>161</v>
      </c>
      <c r="B164" s="20">
        <v>0</v>
      </c>
      <c r="C164" t="s">
        <v>66</v>
      </c>
      <c r="D164" t="s">
        <v>779</v>
      </c>
      <c r="E164" t="s">
        <v>65</v>
      </c>
      <c r="F164" t="s">
        <v>693</v>
      </c>
      <c r="G164" t="s">
        <v>65</v>
      </c>
      <c r="H164" t="s">
        <v>65</v>
      </c>
      <c r="I164" t="s">
        <v>65</v>
      </c>
      <c r="J164" s="23" t="s">
        <v>65</v>
      </c>
      <c r="K164" s="23" t="str">
        <f t="shared" si="4"/>
        <v>-</v>
      </c>
      <c r="L164" s="23"/>
      <c r="M164" s="23"/>
      <c r="N164" s="23"/>
    </row>
    <row r="165" spans="1:16" ht="14.5" x14ac:dyDescent="0.35">
      <c r="A165" s="20">
        <f t="shared" si="3"/>
        <v>162</v>
      </c>
      <c r="B165" s="20">
        <v>1</v>
      </c>
      <c r="C165" s="3" t="s">
        <v>62</v>
      </c>
      <c r="D165" s="3" t="s">
        <v>694</v>
      </c>
      <c r="E165" s="3" t="s">
        <v>695</v>
      </c>
      <c r="F165" s="3"/>
      <c r="G165" s="3" t="s">
        <v>65</v>
      </c>
      <c r="H165" s="3"/>
      <c r="I165" s="3" t="s">
        <v>65</v>
      </c>
      <c r="J165" s="25" t="s">
        <v>65</v>
      </c>
      <c r="K165" s="23" t="str">
        <f t="shared" si="4"/>
        <v>-</v>
      </c>
      <c r="L165" s="23"/>
      <c r="M165" s="23"/>
      <c r="N165" s="23"/>
    </row>
    <row r="166" spans="1:16" ht="14.5" x14ac:dyDescent="0.35">
      <c r="A166" s="20">
        <f t="shared" si="3"/>
        <v>163</v>
      </c>
      <c r="B166" s="20">
        <v>1</v>
      </c>
      <c r="C166" t="s">
        <v>66</v>
      </c>
      <c r="D166" t="s">
        <v>696</v>
      </c>
      <c r="E166" t="s">
        <v>697</v>
      </c>
      <c r="F166" t="s">
        <v>698</v>
      </c>
      <c r="G166" t="s">
        <v>160</v>
      </c>
      <c r="H166" s="4" t="s">
        <v>699</v>
      </c>
      <c r="I166" s="4" t="s">
        <v>700</v>
      </c>
      <c r="J166" s="23" t="s">
        <v>65</v>
      </c>
      <c r="K166" s="23" t="str">
        <f t="shared" si="4"/>
        <v>DF_SDG_10</v>
      </c>
      <c r="L166" s="23" t="s">
        <v>183</v>
      </c>
      <c r="M166" s="23"/>
      <c r="N166" s="23"/>
      <c r="P166">
        <v>1</v>
      </c>
    </row>
    <row r="167" spans="1:16" ht="14.5" x14ac:dyDescent="0.35">
      <c r="A167" s="20">
        <f t="shared" si="3"/>
        <v>164</v>
      </c>
      <c r="B167" s="20">
        <v>1</v>
      </c>
      <c r="C167" t="s">
        <v>66</v>
      </c>
      <c r="D167" t="s">
        <v>701</v>
      </c>
      <c r="E167" t="s">
        <v>702</v>
      </c>
      <c r="F167" t="s">
        <v>703</v>
      </c>
      <c r="G167" t="s">
        <v>160</v>
      </c>
      <c r="H167" s="4" t="s">
        <v>704</v>
      </c>
      <c r="I167" s="5" t="s">
        <v>705</v>
      </c>
      <c r="J167" s="23" t="s">
        <v>65</v>
      </c>
      <c r="K167" s="23" t="str">
        <f t="shared" si="4"/>
        <v>DF_SDG_17</v>
      </c>
      <c r="L167" s="23" t="s">
        <v>183</v>
      </c>
      <c r="M167" s="23"/>
      <c r="N167" s="23"/>
    </row>
    <row r="168" spans="1:16" ht="101.5" x14ac:dyDescent="0.35">
      <c r="A168" s="20">
        <f t="shared" si="3"/>
        <v>165</v>
      </c>
      <c r="B168" s="20">
        <v>0</v>
      </c>
      <c r="C168" t="s">
        <v>66</v>
      </c>
      <c r="D168" t="s">
        <v>706</v>
      </c>
      <c r="E168" t="s">
        <v>65</v>
      </c>
      <c r="F168" t="s">
        <v>707</v>
      </c>
      <c r="G168" t="s">
        <v>65</v>
      </c>
      <c r="H168" t="s">
        <v>65</v>
      </c>
      <c r="I168" t="s">
        <v>65</v>
      </c>
      <c r="J168" s="23" t="s">
        <v>65</v>
      </c>
      <c r="K168" s="23" t="str">
        <f t="shared" si="4"/>
        <v>-</v>
      </c>
      <c r="L168" s="23"/>
      <c r="M168" s="35" t="s">
        <v>780</v>
      </c>
      <c r="N168" s="35"/>
    </row>
    <row r="169" spans="1:16" ht="72.5" x14ac:dyDescent="0.35">
      <c r="A169" s="20">
        <f t="shared" si="3"/>
        <v>166</v>
      </c>
      <c r="B169" s="20">
        <v>0</v>
      </c>
      <c r="C169" t="s">
        <v>66</v>
      </c>
      <c r="D169" t="s">
        <v>708</v>
      </c>
      <c r="E169" t="s">
        <v>65</v>
      </c>
      <c r="F169" t="s">
        <v>709</v>
      </c>
      <c r="G169" t="s">
        <v>65</v>
      </c>
      <c r="H169" t="s">
        <v>65</v>
      </c>
      <c r="I169" t="s">
        <v>65</v>
      </c>
      <c r="J169" s="23" t="s">
        <v>65</v>
      </c>
      <c r="K169" s="23" t="str">
        <f t="shared" si="4"/>
        <v>-</v>
      </c>
      <c r="L169" s="23"/>
      <c r="M169" s="35" t="s">
        <v>781</v>
      </c>
      <c r="N169" s="35"/>
    </row>
    <row r="170" spans="1:16" ht="14.5" x14ac:dyDescent="0.35">
      <c r="A170" s="20">
        <f t="shared" si="3"/>
        <v>167</v>
      </c>
      <c r="B170" s="20">
        <v>1</v>
      </c>
      <c r="C170" t="s">
        <v>66</v>
      </c>
      <c r="D170" t="s">
        <v>710</v>
      </c>
      <c r="E170" t="s">
        <v>711</v>
      </c>
      <c r="F170" t="s">
        <v>712</v>
      </c>
      <c r="G170" t="s">
        <v>160</v>
      </c>
      <c r="H170" s="4" t="s">
        <v>713</v>
      </c>
      <c r="I170" s="4" t="s">
        <v>714</v>
      </c>
      <c r="J170" s="23" t="s">
        <v>65</v>
      </c>
      <c r="K170" s="23" t="str">
        <f t="shared" si="4"/>
        <v>DF_PAM</v>
      </c>
      <c r="L170" s="23" t="s">
        <v>116</v>
      </c>
      <c r="M170" s="23"/>
      <c r="N170" s="23"/>
    </row>
    <row r="171" spans="1:16" ht="14.5" x14ac:dyDescent="0.35">
      <c r="A171" s="20">
        <f t="shared" si="3"/>
        <v>168</v>
      </c>
      <c r="B171" s="20">
        <v>1</v>
      </c>
      <c r="C171" t="s">
        <v>66</v>
      </c>
      <c r="D171" t="s">
        <v>715</v>
      </c>
      <c r="E171" t="s">
        <v>716</v>
      </c>
      <c r="F171" t="s">
        <v>712</v>
      </c>
      <c r="G171" t="s">
        <v>160</v>
      </c>
      <c r="H171" s="4" t="s">
        <v>717</v>
      </c>
      <c r="I171" s="4" t="s">
        <v>718</v>
      </c>
      <c r="J171" s="23" t="s">
        <v>65</v>
      </c>
      <c r="K171" s="23" t="str">
        <f t="shared" si="4"/>
        <v>DF_PAM</v>
      </c>
      <c r="L171" s="23" t="s">
        <v>116</v>
      </c>
      <c r="M171" s="23"/>
      <c r="N171" s="23"/>
    </row>
  </sheetData>
  <autoFilter ref="A1:M171" xr:uid="{BD43560B-3289-45C3-832F-F08D5B4607BD}"/>
  <phoneticPr fontId="2" type="noConversion"/>
  <hyperlinks>
    <hyperlink ref="I7" r:id="rId1" xr:uid="{170E89A7-CBC8-448B-963C-4730221CD887}"/>
    <hyperlink ref="I8" r:id="rId2" xr:uid="{B3E9FB17-3286-46D3-A32D-B251CEF68443}"/>
    <hyperlink ref="I9" r:id="rId3" xr:uid="{B6A0E955-7F47-4A4A-95F6-3D5CCED5FFCE}"/>
    <hyperlink ref="I10" r:id="rId4" xr:uid="{9EA76B3C-47A1-42B8-B21C-56859A53DE78}"/>
    <hyperlink ref="I12" r:id="rId5" xr:uid="{36D4C3DE-F18F-4FD5-8FD5-80C960DE58B9}"/>
    <hyperlink ref="I11" r:id="rId6" xr:uid="{240B65F6-2FFB-439D-8E13-CD356CE6033C}"/>
    <hyperlink ref="I18" r:id="rId7" xr:uid="{5A332162-9C0D-4D24-A323-2A30B8FA68BF}"/>
    <hyperlink ref="I19" r:id="rId8" xr:uid="{6F31A157-2AC1-4443-88A8-6C7506D799C0}"/>
    <hyperlink ref="I20" r:id="rId9" xr:uid="{7550F34A-3B1B-49B8-A29E-ABB184946319}"/>
    <hyperlink ref="I31" r:id="rId10" xr:uid="{6E2F778D-192E-4812-BDA4-1F19EDA31D47}"/>
    <hyperlink ref="I32" r:id="rId11" xr:uid="{B25ACEA5-A54F-494F-9946-5A65B2EAF4E1}"/>
    <hyperlink ref="I43" r:id="rId12" xr:uid="{6EA08155-175E-4047-A92E-DCBCBEA45178}"/>
    <hyperlink ref="I41" r:id="rId13" xr:uid="{6E00542C-DB46-4BC7-B214-EFA271FDD618}"/>
    <hyperlink ref="I53" r:id="rId14" xr:uid="{3AFE602E-3E7F-4261-9B96-E0CD9A0CB3D2}"/>
    <hyperlink ref="I15:I17" r:id="rId15" display="https://stats-nsi-stable.pacificdata.org/rest/data/SPC,DF_POP_DENSITY,1.0/A.[TAG_GEO].LANDAREA?dimensionAtObservation=AllDimensions" xr:uid="{DA3D8E29-66A1-490B-9F9F-FDD80B3C79E0}"/>
    <hyperlink ref="I16" r:id="rId16" xr:uid="{7E59E042-B1A7-4F2D-90BD-37682517C192}"/>
    <hyperlink ref="I17" r:id="rId17" xr:uid="{E5613530-A90B-4AFA-BC91-8F7BA74D16B2}"/>
    <hyperlink ref="I13" r:id="rId18" xr:uid="{28FE2BC2-1FF0-480A-8971-30E43B0FEF55}"/>
    <hyperlink ref="I40" r:id="rId19" xr:uid="{05338E9F-8651-4F2F-A390-058683911AB8}"/>
    <hyperlink ref="I34" r:id="rId20" xr:uid="{B6A43B5D-3ECF-4A1F-9EFA-9DD968BFB1D3}"/>
    <hyperlink ref="I48" r:id="rId21" xr:uid="{B84104D1-691F-40A1-8667-370B23FA8E0B}"/>
    <hyperlink ref="I36" r:id="rId22" xr:uid="{73FAF9CD-46B6-4D92-9F01-6CCB54F9052F}"/>
    <hyperlink ref="I27" r:id="rId23" xr:uid="{C793E863-09C7-4D2D-BEDE-3C523460B4B9}"/>
    <hyperlink ref="I28" r:id="rId24" xr:uid="{38240CF5-3E8B-4D25-A847-2600D5F9A67D}"/>
    <hyperlink ref="I33" r:id="rId25" xr:uid="{3DBBAA0F-EBE3-4EF5-BA4E-5FF60C15322B}"/>
    <hyperlink ref="I54" r:id="rId26" xr:uid="{6F05CF4C-39EE-4BD2-92BE-938A4648AE9F}"/>
    <hyperlink ref="I55" r:id="rId27" xr:uid="{F5FBB2F0-9BF3-41D7-B7F7-9EE2004025B4}"/>
    <hyperlink ref="I56" r:id="rId28" xr:uid="{ECDA1C03-898C-4286-96AE-739F8D1DEC5A}"/>
    <hyperlink ref="I80" r:id="rId29" xr:uid="{9697CBBC-AFA2-4909-98A5-6C619780C0E4}"/>
    <hyperlink ref="I81" r:id="rId30" xr:uid="{4C9931AB-67FF-4157-9FFC-E53706A8E898}"/>
    <hyperlink ref="I82" r:id="rId31" xr:uid="{07095425-E2FB-48CE-B094-5BD215B5AEB8}"/>
    <hyperlink ref="I83" r:id="rId32" xr:uid="{D2D84751-4FA3-4788-84B0-19CD3141ECC7}"/>
    <hyperlink ref="I84" r:id="rId33" xr:uid="{6B9D5FF5-A57C-4B6C-AC16-9523D37147F6}"/>
    <hyperlink ref="I85" r:id="rId34" xr:uid="{2607DC19-80DE-43D2-BEF6-F8AE81A78CEC}"/>
    <hyperlink ref="I86" r:id="rId35" xr:uid="{FF3BB6F6-3B04-41E7-B79C-18AE247E6CFD}"/>
    <hyperlink ref="I87" r:id="rId36" xr:uid="{6FFDB1BD-1577-4F81-AFD2-6EBFEE113B7A}"/>
    <hyperlink ref="I88" r:id="rId37" xr:uid="{582B397D-7419-41C4-9505-EA3ED17FF8DE}"/>
    <hyperlink ref="I92" r:id="rId38" xr:uid="{0432E4AA-9311-41FE-B73B-BC9DE581DAB2}"/>
    <hyperlink ref="I93" r:id="rId39" xr:uid="{54B40501-B4B7-4C75-8430-F25EB21F4C10}"/>
    <hyperlink ref="I94" r:id="rId40" xr:uid="{BA60E908-A0E5-4266-9A5A-78CD08CD14AA}"/>
    <hyperlink ref="I95" r:id="rId41" xr:uid="{E6196AE2-2FF6-4CA8-8813-3AC5232D9E97}"/>
    <hyperlink ref="I96" r:id="rId42" xr:uid="{3DDBA105-19D7-4DF1-B131-2AF59B17B138}"/>
    <hyperlink ref="I97" r:id="rId43" xr:uid="{7A4E0126-0093-49F8-BC6A-ACB2A0427250}"/>
    <hyperlink ref="I98" r:id="rId44" xr:uid="{343126FB-F3C8-4EAA-B206-6DCB367F31F4}"/>
    <hyperlink ref="I99" r:id="rId45" xr:uid="{4C27BF2E-50B3-48B5-A200-5977EE425FF3}"/>
    <hyperlink ref="I100" r:id="rId46" xr:uid="{B19FCEC6-007B-4CEA-9BE5-F72C4BCC12BE}"/>
    <hyperlink ref="I102" r:id="rId47" xr:uid="{F6AF2E22-0359-4F56-BAAC-FC6B7E0A55FC}"/>
    <hyperlink ref="I103" r:id="rId48" xr:uid="{F647C214-6E35-44DE-AC64-E4BB67F5AE8E}"/>
    <hyperlink ref="I104" r:id="rId49" xr:uid="{F9ADEDEA-6A26-4BA5-B4E5-265655E125AC}"/>
    <hyperlink ref="I105" r:id="rId50" xr:uid="{3BB1D681-AC7E-4141-9A04-28AF6E6505F6}"/>
    <hyperlink ref="I106" r:id="rId51" xr:uid="{F63B2FF2-E48F-494F-863B-C07F9ABC19F0}"/>
    <hyperlink ref="I107" r:id="rId52" xr:uid="{4E074056-C909-4CDE-B011-32A65C60F5FE}"/>
    <hyperlink ref="I113" r:id="rId53" xr:uid="{DBE4EDD0-CA69-404A-AA61-D982CF60EBFF}"/>
    <hyperlink ref="I114" r:id="rId54" xr:uid="{BC1F19F6-92BD-4987-8C22-258FA2B333B9}"/>
    <hyperlink ref="I117" r:id="rId55" xr:uid="{6C77F050-0452-46B3-A4E8-6A9E77CEDF31}"/>
    <hyperlink ref="I118" r:id="rId56" xr:uid="{A7563ED7-24CA-4742-8B47-3F28B9217FFB}"/>
    <hyperlink ref="I119" r:id="rId57" xr:uid="{5002F0CD-FAEC-4C29-888A-6EBC90C62838}"/>
    <hyperlink ref="I123" r:id="rId58" xr:uid="{C075761F-E7CD-46EB-8870-BFF7BCA8822F}"/>
    <hyperlink ref="I124" r:id="rId59" xr:uid="{B71D5996-683D-4CB7-9276-73EDB26C91B4}"/>
    <hyperlink ref="I126" r:id="rId60" xr:uid="{59988B42-F2A3-4344-8C1A-D3B9BEA71F51}"/>
    <hyperlink ref="I125" r:id="rId61" xr:uid="{C779E592-1658-4A2C-A713-87B51DD64800}"/>
    <hyperlink ref="I133" r:id="rId62" xr:uid="{B9B97053-657F-4672-BE08-7D1189AD25D2}"/>
    <hyperlink ref="I134" r:id="rId63" xr:uid="{F12F85A1-2396-4EBF-99B1-20FED912DBF3}"/>
    <hyperlink ref="I135" r:id="rId64" xr:uid="{C119C73C-1C9B-4D71-A3B7-2E891F07B772}"/>
    <hyperlink ref="I136" r:id="rId65" xr:uid="{784899EB-29C8-4F1E-A23A-7DB4F17B7F29}"/>
    <hyperlink ref="I137" r:id="rId66" xr:uid="{128D2953-BDD1-435D-9898-AF6CC25CF886}"/>
    <hyperlink ref="I138" r:id="rId67" xr:uid="{AB8AA5BB-2A85-4292-ABB0-2B302DBC3297}"/>
    <hyperlink ref="I139" r:id="rId68" xr:uid="{3AEC5B33-9C3A-4D0C-AF46-82D8DF458A3F}"/>
    <hyperlink ref="I146" r:id="rId69" xr:uid="{728F27B2-D5C0-432A-9E0B-77859D5EFADD}"/>
    <hyperlink ref="I150" r:id="rId70" xr:uid="{E7189E2E-75A8-4341-9B1D-B099C1A760C5}"/>
    <hyperlink ref="I151" r:id="rId71" xr:uid="{C6D07B87-83AF-49C9-B1C1-1AB5CEA6BEA5}"/>
    <hyperlink ref="I152" r:id="rId72" xr:uid="{33B40E88-5A98-4B8A-852F-00366F79D695}"/>
    <hyperlink ref="I153" r:id="rId73" xr:uid="{4F5C1EC2-9161-447B-A640-ABD2299C556E}"/>
    <hyperlink ref="I154" r:id="rId74" xr:uid="{84573549-533C-4459-984E-FB7EC15E8474}"/>
    <hyperlink ref="I155" r:id="rId75" xr:uid="{713ED80F-03A3-4637-A617-40B91BF3D8E1}"/>
    <hyperlink ref="I166" r:id="rId76" xr:uid="{04284B90-E07E-443A-B581-BACBB808E27A}"/>
    <hyperlink ref="H7" r:id="rId77" xr:uid="{58FD9652-2C63-449D-B3CF-D2C205210A35}"/>
    <hyperlink ref="H8" r:id="rId78" xr:uid="{AEC7669D-F50F-4ECA-960F-36F5487B082A}"/>
    <hyperlink ref="H9" r:id="rId79" xr:uid="{FA22EDA5-9F52-4067-9A48-95E0B588A932}"/>
    <hyperlink ref="H10" r:id="rId80" xr:uid="{53F5ED46-3AD7-4E73-84F1-F4E43D40A572}"/>
    <hyperlink ref="H11" r:id="rId81" xr:uid="{25A6A1B5-A402-4F2D-8BE7-B75190649E63}"/>
    <hyperlink ref="H12" r:id="rId82" xr:uid="{05702ED0-53D2-4932-B9F3-6E9F8B103B63}"/>
    <hyperlink ref="H13" r:id="rId83" xr:uid="{7F183CD2-856C-4BA4-B4BF-A19F10E11BFF}"/>
    <hyperlink ref="H15" r:id="rId84" xr:uid="{D82385FE-1EC8-4AF7-8273-7E3F4B15550A}"/>
    <hyperlink ref="H16" r:id="rId85" xr:uid="{E6DEC542-6E7F-40D5-9F82-7D6CEE592EBD}"/>
    <hyperlink ref="H18" r:id="rId86" xr:uid="{88AD1EB1-27AC-4512-8B4E-1B967BD6AA98}"/>
    <hyperlink ref="H19" r:id="rId87" xr:uid="{3B79E780-C8FA-4429-96C6-932C25F1AD32}"/>
    <hyperlink ref="H20" r:id="rId88" xr:uid="{187B1A74-95C9-4BE5-8852-C8C9550048D0}"/>
    <hyperlink ref="H43" r:id="rId89" xr:uid="{99E7D8DE-587A-4140-8A03-B97CC6D84873}"/>
    <hyperlink ref="H32" r:id="rId90" xr:uid="{9AA9F864-62F0-4217-9092-AF444C7304E1}"/>
    <hyperlink ref="H31" r:id="rId91" xr:uid="{5ACF5800-B7E7-4777-80BC-8CF3EC6DC2E1}"/>
    <hyperlink ref="H41" r:id="rId92" xr:uid="{0829B2DD-F711-49CF-B88E-737EAA436C3B}"/>
    <hyperlink ref="H53" r:id="rId93" xr:uid="{750EE584-668B-44E2-A112-C1CF880098E4}"/>
    <hyperlink ref="H40" r:id="rId94" display="https://stats.pacificdata.org/vis?fs[0]=Development%20indicators%2C0%7CSustainable%20Development%20Goals%23SDG%23&amp;pg=0&amp;fc=Development%20indicators&amp;bp=true&amp;snb=18&amp;df[ds]=ds%3ASPC2&amp;df[id]=DF_SDG_03&amp;df[ag]=SPC&amp;df[vs]=3.0&amp;dq=A.SH_DTH_NCD.._T._T._T..._T._Z.&amp;pd=%2C&amp;to[TIME_PERIOD]=false&amp;ly[cl]=TIME_PERIOD&amp;ly[rw]=GEO_PICT" xr:uid="{DC4E0A95-2362-475F-9D32-62F8974691C2}"/>
    <hyperlink ref="H34" r:id="rId95" xr:uid="{75B6B607-50BC-46AB-8123-CADFACD3FC3F}"/>
    <hyperlink ref="H36" r:id="rId96" xr:uid="{B0143674-97CA-4FF3-86EC-D5403C17D774}"/>
    <hyperlink ref="H28" r:id="rId97" xr:uid="{A7BD6F31-A0D4-40C1-9DB7-3D1759608D43}"/>
    <hyperlink ref="H33" r:id="rId98" xr:uid="{AE7DEA84-3AB7-4503-8C68-9D4EBE628BD2}"/>
    <hyperlink ref="H54" r:id="rId99" xr:uid="{E132AFC6-ABE6-4B2D-B06F-1D82E8BBA5D8}"/>
    <hyperlink ref="H55" r:id="rId100" xr:uid="{C1E0EE54-F34E-4ABD-A806-81B39D90860D}"/>
    <hyperlink ref="H80" r:id="rId101" xr:uid="{EF953239-7EB2-440E-871D-EAA9EE307DDE}"/>
    <hyperlink ref="H81" r:id="rId102" xr:uid="{5ECE4EAA-689A-45EC-A219-AFBD6868647B}"/>
    <hyperlink ref="H82" r:id="rId103" xr:uid="{BBDEEA2B-F092-40A3-9B30-DF0E64FBFEFE}"/>
    <hyperlink ref="H83" r:id="rId104" xr:uid="{A0382442-D188-48B4-9AD7-375CDB1F3915}"/>
    <hyperlink ref="H84" r:id="rId105" display="https://stats.pacificdata.org/vis?fs[0]=Development%20indicators,0%7CSustainable%20Development%20Goals%23SDG%23&amp;pg=0&amp;fc=Development%20indicators&amp;bp=true&amp;snb=18&amp;df[ds]=ds%3ASPC2&amp;df[id]=DF_SDG_01&amp;df[ag]=SPC&amp;df[vs]=4.3&amp;dq=A.G.SI_POV_NAHC.._T._T._T........&amp;pd=,&amp;to[TIME_PERIOD]=false" xr:uid="{B1976F90-0F43-4765-8E10-61EAAA42FB37}"/>
    <hyperlink ref="H85" r:id="rId106" xr:uid="{B0F7D467-7A71-4C5C-BB1F-23D40390D170}"/>
    <hyperlink ref="H86" r:id="rId107" xr:uid="{E5368970-EB10-42CB-9A29-C4C6DB40C367}"/>
    <hyperlink ref="H87" r:id="rId108" xr:uid="{8B987A2B-3E6C-4303-8C3D-4AC6998D4CFA}"/>
    <hyperlink ref="H88" r:id="rId109" xr:uid="{6576011A-E318-4441-A8C2-2B04365E3989}"/>
    <hyperlink ref="H93" r:id="rId110" xr:uid="{2F88DBE0-F750-44B3-A99F-1BEBB352072D}"/>
    <hyperlink ref="H94" r:id="rId111" xr:uid="{B188AACF-2657-4F0F-9151-367CBE40048A}"/>
    <hyperlink ref="H95" r:id="rId112" xr:uid="{AC3DCF5B-50BA-446E-9C99-F645CE1DD235}"/>
    <hyperlink ref="H96" r:id="rId113" xr:uid="{5E1C6057-C61B-4EC0-8286-66FA8E4990B7}"/>
    <hyperlink ref="H97" r:id="rId114" xr:uid="{5270AA49-33E3-4D7F-A4DE-C11A002C80E0}"/>
    <hyperlink ref="H98" r:id="rId115" xr:uid="{D718B9AB-5259-4913-8770-DCDB9879BFBA}"/>
    <hyperlink ref="H99" r:id="rId116" xr:uid="{B5AB6C90-8A65-4020-A0B0-B311F8D9938C}"/>
    <hyperlink ref="H100" r:id="rId117" xr:uid="{DA9FA123-6DC1-460A-8161-7F94509CAD98}"/>
    <hyperlink ref="H102" r:id="rId118" xr:uid="{3FD22915-E098-4252-9C8F-908154DC80F7}"/>
    <hyperlink ref="H103" r:id="rId119" xr:uid="{17DAE5A7-F958-4879-A4D0-5A065D0C9C98}"/>
    <hyperlink ref="H104" r:id="rId120" xr:uid="{ABC6C487-F3F9-479D-907B-2D1BF6D4D659}"/>
    <hyperlink ref="H105" r:id="rId121" xr:uid="{9D4EE5A2-A941-472D-97D9-2A8D61D56008}"/>
    <hyperlink ref="H106" r:id="rId122" xr:uid="{5EB99369-A584-441A-8B07-F9CFEF6B5A4B}"/>
    <hyperlink ref="H107" r:id="rId123" xr:uid="{EB2EC97E-A0A7-4CC5-A567-C5452D39B12C}"/>
    <hyperlink ref="H113" r:id="rId124" xr:uid="{53FDAF5B-D8B2-420F-8F8B-4952628C621B}"/>
    <hyperlink ref="H114" r:id="rId125" xr:uid="{163C63B6-F4E0-4071-84B5-9F105417D753}"/>
    <hyperlink ref="H115" r:id="rId126" display="https://stats.pacificdata.org/vis?fs[0]=Development%20indicators,0%7CSustainable%20Development%20Goals%23SDG%23&amp;pg=10&amp;fc=Development%20indicators&amp;bp=true&amp;snb=18&amp;df[ds]=ds%3ASPC2&amp;df[id]=DF_SDG_11&amp;df[ag]=SPC&amp;df[vs]=4.3&amp;dq=A.G.VC_DSR_GDPLS............&amp;pd=,&amp;to[TIME_PERIOD]=false&amp;isAvailabilityDisabled=false&amp;page=0" xr:uid="{979083AE-0C9C-420A-9712-5CC4D46BEDCC}"/>
    <hyperlink ref="H117" r:id="rId127" xr:uid="{D3C439D1-7A71-48CB-B27E-59B5665616C9}"/>
    <hyperlink ref="H118" r:id="rId128" xr:uid="{5DA06B8B-CBCE-4E12-9AC8-34EF37D8781B}"/>
    <hyperlink ref="H119" r:id="rId129" xr:uid="{B480CC4E-7BD3-44E1-9D6A-266A60A313B5}"/>
    <hyperlink ref="H123" r:id="rId130" xr:uid="{70469EB1-EA3C-4CF5-90CA-C9B4F2E7ADBD}"/>
    <hyperlink ref="H124" r:id="rId131" xr:uid="{FB01EEC9-861D-4403-B029-6A19687734C7}"/>
    <hyperlink ref="H126" r:id="rId132" xr:uid="{78317849-983F-4680-9727-BCC3EF1018F1}"/>
    <hyperlink ref="H125" r:id="rId133" xr:uid="{90C55F91-75C2-4880-9D6B-B523F4B47DFC}"/>
    <hyperlink ref="H133" r:id="rId134" xr:uid="{FCF866F9-D4BE-4F25-8CD0-045B1BC3A28B}"/>
    <hyperlink ref="H135" r:id="rId135" xr:uid="{BFF6312C-96C1-4B8D-8DAB-0F69B3F2BB25}"/>
    <hyperlink ref="H136" r:id="rId136" xr:uid="{FCAC876F-2CB5-463E-B0A7-B8C72C0CC0CF}"/>
    <hyperlink ref="H138" r:id="rId137" xr:uid="{A99A7011-7C2B-4DEA-A9DF-D1BBA8C10C04}"/>
    <hyperlink ref="H139" r:id="rId138" xr:uid="{3B2D9F20-D642-45B8-93E8-0E8FE888AC10}"/>
    <hyperlink ref="H146" r:id="rId139" xr:uid="{75545281-79A7-4EA5-873F-25F62D5A1367}"/>
    <hyperlink ref="H150" r:id="rId140" xr:uid="{01C6D606-5CD3-445B-99AB-D2F1F706F182}"/>
    <hyperlink ref="H151" r:id="rId141" xr:uid="{80433ABE-51EB-4980-A702-4EBF666D73CF}"/>
    <hyperlink ref="H152" r:id="rId142" xr:uid="{13212F08-FB83-4C6F-93E5-DB08952703AB}"/>
    <hyperlink ref="H153" r:id="rId143" xr:uid="{AA978B1C-2AC6-4ABE-861E-D6432A783D45}"/>
    <hyperlink ref="H154" r:id="rId144" xr:uid="{30E86D25-531E-42EC-AD05-AE1E8C502C56}"/>
    <hyperlink ref="H155" r:id="rId145" xr:uid="{36F4EDD1-4BA0-417B-B577-7944390951DA}"/>
    <hyperlink ref="H166" r:id="rId146" xr:uid="{40D71EF2-C82F-4CAA-80A0-596B89824506}"/>
    <hyperlink ref="H167" r:id="rId147" xr:uid="{2B58579E-7534-4AD4-A421-7FFC591C06D9}"/>
    <hyperlink ref="H44" r:id="rId148" xr:uid="{0927D392-245C-441D-9B46-AE9B52E753D4}"/>
    <hyperlink ref="H48" r:id="rId149" xr:uid="{4111EE01-9325-425B-8306-50AFC877F7A0}"/>
    <hyperlink ref="H27" r:id="rId150" xr:uid="{80E435AF-BAE9-49C4-AF81-6A3082E0D909}"/>
    <hyperlink ref="H17" r:id="rId151" xr:uid="{92E1CEE3-D79F-4540-9D25-D1295345E46D}"/>
    <hyperlink ref="H56" r:id="rId152" xr:uid="{01D65F6C-76AA-4891-9DC2-0874612391DF}"/>
    <hyperlink ref="H92" r:id="rId153" xr:uid="{E31C9329-77FA-4289-8F81-D1976743601D}"/>
    <hyperlink ref="H134" r:id="rId154" xr:uid="{30E85A65-6578-4B4E-89B3-73444390EF49}"/>
    <hyperlink ref="H137" r:id="rId155" xr:uid="{2E0220EE-2138-440F-997B-970B276ADC60}"/>
    <hyperlink ref="H89" r:id="rId156" xr:uid="{743EA05D-50D6-4B17-A3C2-35187E0DA9D1}"/>
    <hyperlink ref="I89" r:id="rId157" xr:uid="{5284A944-23AD-4380-AAE0-8C4D461C482D}"/>
    <hyperlink ref="H79" r:id="rId158" xr:uid="{1776E5AC-7554-4E79-9F15-574CF8E1F255}"/>
    <hyperlink ref="I79" r:id="rId159" xr:uid="{88B35120-2EB2-4017-9F82-EDD8D201592E}"/>
    <hyperlink ref="H157" r:id="rId160" xr:uid="{DBF258FE-BB35-469E-9E89-C3C4170C8CD9}"/>
    <hyperlink ref="I157" r:id="rId161" xr:uid="{06838F86-4510-46BB-BC9F-02813925B833}"/>
    <hyperlink ref="H156" r:id="rId162" xr:uid="{5A366EA9-073F-49D2-ABEB-73ABF07BEF17}"/>
    <hyperlink ref="I156" r:id="rId163" xr:uid="{52C90624-5838-402E-A4FA-EB258334F62B}"/>
    <hyperlink ref="H112" r:id="rId164" xr:uid="{97BE9D83-F310-4A1B-BF00-5DF32CA979F9}"/>
    <hyperlink ref="H110" r:id="rId165" xr:uid="{A82EA0A3-2615-4A07-A518-098C279C6F86}"/>
    <hyperlink ref="I110" r:id="rId166" xr:uid="{AF4D1867-DC79-423F-BAA3-BAAF4EB3BE50}"/>
    <hyperlink ref="H29" r:id="rId167" xr:uid="{60115B51-CCFB-4C76-8D14-AC56257158E7}"/>
    <hyperlink ref="I29" r:id="rId168" xr:uid="{7C5DE5C9-8D41-41A4-80EB-A6A3948FDE7A}"/>
    <hyperlink ref="H6" r:id="rId169" xr:uid="{58BEEAEE-9EA7-4386-8984-713260450252}"/>
    <hyperlink ref="I6" r:id="rId170" xr:uid="{92D4F3D5-9A6E-4B7C-A6A1-57BB548650EF}"/>
    <hyperlink ref="H42" r:id="rId171" xr:uid="{92C65005-9F34-42A4-9612-F00411669011}"/>
    <hyperlink ref="I42" r:id="rId172" xr:uid="{39CDC295-366A-4CA9-9A34-A2BCD201FEA3}"/>
    <hyperlink ref="H35" r:id="rId173" xr:uid="{4FD2A831-0986-4F34-910A-E4AC71BF2439}"/>
    <hyperlink ref="H30" r:id="rId174" xr:uid="{90D892CE-01A7-4410-AA9D-FC8447170C69}"/>
    <hyperlink ref="H60" r:id="rId175" xr:uid="{D047F7D6-7B67-4685-BDBD-A6637EF5EBCC}"/>
    <hyperlink ref="H3" r:id="rId176" xr:uid="{1DABEEC7-934F-4024-864B-2F3221545BFE}"/>
    <hyperlink ref="I44" r:id="rId177" display="https://stats-sdmx-disseminate.pacificdata.org/rest/data/SPC,DF_SDG_03,3.0/A.SH_MED_DEN.[TAG_GEO]._T._T._T._T._T.222._Z._T?dimensionAtObservation=AllDimensions" xr:uid="{1B42A0C0-5605-457B-8CBF-6283190641AB}"/>
    <hyperlink ref="I30" r:id="rId178" xr:uid="{FC1A2E34-AF23-4F6F-8B9A-074AA79256EA}"/>
    <hyperlink ref="I35" r:id="rId179" xr:uid="{487148D0-650E-4472-AFF6-FAEBB4DACBE3}"/>
    <hyperlink ref="I3" r:id="rId180" xr:uid="{2A967BFE-4B50-4D67-BE43-376CAD9174F3}"/>
    <hyperlink ref="I60" r:id="rId181" xr:uid="{70755F6E-9724-459F-A1E9-BA6B3E9E9AC2}"/>
    <hyperlink ref="I167" r:id="rId182" xr:uid="{17711FEB-CB49-4232-871B-5E587287C174}"/>
    <hyperlink ref="I112" r:id="rId183" xr:uid="{6754BBFF-C5A5-4BE1-BA53-84F8CA49F51C}"/>
    <hyperlink ref="H130" r:id="rId184" display="https://stats.pacificdata.org/vis?lc=en&amp;df[ds]=SPC2&amp;df[id]=DF_TRADE_FOOD&amp;df[ag]=SPC&amp;df[vs]=1.0&amp;pd=%2C&amp;dq=A.Q._T%2BAS%2BCK%2BFJ%2BFM%2BGU%2BKI%2BMH%2BMP%2BNC%2BNR%2BNU%2BPF%2BPG%2BPN%2BPW%2BSB%2BTK%2BTO%2BTV%2BVU%2BWF%2BWS._T.03&amp;ly[cl]=TIME_PERIOD&amp;to[TIME_PERIOD]=false" xr:uid="{90467304-BAA5-41F9-90C2-FD3C3309E0AA}"/>
    <hyperlink ref="I130" r:id="rId185" xr:uid="{5E10D0D6-E490-4EDE-8AA7-AC11B6435B3A}"/>
    <hyperlink ref="H131" r:id="rId186" xr:uid="{558A4520-5AE1-4282-AD7F-E381D883DC1F}"/>
    <hyperlink ref="I131" r:id="rId187" xr:uid="{A4EA1B16-85F7-47AF-B65C-B81F6324FF70}"/>
    <hyperlink ref="H171" r:id="rId188" display="https://stats.pacificdata.org/vis?lc=en&amp;tm=Total%20donors&amp;pg=0&amp;hc[Flow%20type]=Total&amp;hc[Donor]=Total&amp;snb=3&amp;df[ds]=ds%3ASPC2&amp;df[id]=DF_PAM&amp;df[ag]=SPC&amp;df[vs]=1.0&amp;pd=%2C&amp;dq=A.VU%2BTV%2BTO%2BSB%2BWS%2BPG%2BPW%2BNU%2BNR%2BFM%2BMH%2BKI%2BFJ%2BCK.TRVAL._T.COM._T&amp;ly[cl]=TIME_PERIOD&amp;ly[rw]=GEO_PICT&amp;to[TIME_PERIOD]=false" xr:uid="{C6FA682B-2CD7-410B-A019-51678577A865}"/>
    <hyperlink ref="I171" r:id="rId189" xr:uid="{79CFAA4A-F52F-4B37-8D13-16584A245D86}"/>
    <hyperlink ref="H170" r:id="rId190" display="https://stats.pacificdata.org/vis?lc=en&amp;tm=Total%20donors&amp;pg=0&amp;hc[Flow%20type]=Total&amp;hc[Donor]=Total&amp;snb=3&amp;df[ds]=ds%3ASPC2&amp;df[id]=DF_PAM&amp;df[ag]=SPC&amp;df[vs]=1.0&amp;pd=%2C&amp;dq=A.VU%2BTV%2BTO%2BSB%2BWS%2BPG%2BPW%2BNU%2BNR%2BFM%2BMH%2BKI%2BFJ%2BCK.TRVAL._T.SPE._T&amp;ly[cl]=TIME_PERIOD&amp;ly[rw]=GEO_PICT&amp;to[TIME_PERIOD]=false" xr:uid="{2AC84100-632C-495F-A563-F420458DAFF5}"/>
    <hyperlink ref="I170" r:id="rId191" xr:uid="{C42D556B-E08B-49AD-8E68-336B48DC97DB}"/>
    <hyperlink ref="H140" r:id="rId192" display="https://stats.pacificdata.org/vis?fs[0]=Development%20indicators%2C0%7CSustainable%20Development%20Goals%23SDG%23&amp;pg=10&amp;fc=Development%20indicators&amp;bp=true&amp;snb=18&amp;df[ds]=ds%3ASPC2&amp;df[id]=DF_SDG_16&amp;df[ag]=SPC&amp;df[vs]=3.0&amp;pd=%2C&amp;dq=A.SG_DMK_PARLYP_LC.........&amp;ly[rw]=GEO_PICT&amp;ly[cl]=TIME_PERIOD&amp;ly[rs]=INDICATOR&amp;to[TIME_PERIOD]=false" xr:uid="{CBE7AD18-773D-4911-8FE6-8D5C00BF35BE}"/>
    <hyperlink ref="H141" r:id="rId193" display="https://stats.pacificdata.org/vis?fs[0]=Development%20indicators%2C0%7CSustainable%20Development%20Goals%23SDG%23&amp;pg=10&amp;fc=Development%20indicators&amp;bp=true&amp;snb=18&amp;df[ds]=ds%3ASPC2&amp;df[id]=DF_SDG_16&amp;df[ag]=SPC&amp;df[vs]=3.0&amp;pd=%2C&amp;dq=A.SG_DMK_PARLYP_UC.........&amp;ly[rw]=GEO_PICT&amp;ly[cl]=TIME_PERIOD&amp;ly[rs]=INDICATOR&amp;to[TIME_PERIOD]=false" xr:uid="{F32C1594-90C0-4FB1-A04C-393D7ACADD99}"/>
    <hyperlink ref="H57" r:id="rId194" xr:uid="{899BC8BB-7851-431C-91DA-6D13255A4A9C}"/>
    <hyperlink ref="I57" r:id="rId195" xr:uid="{CE19ECBF-B46A-48CC-A437-0EA3FA62CF73}"/>
    <hyperlink ref="H65" r:id="rId196" xr:uid="{265C289E-EF01-4F34-8DBF-2D1DF63475E7}"/>
    <hyperlink ref="H67" r:id="rId197" xr:uid="{AC46235B-83A7-4EB5-A4D6-C5FDED46B01A}"/>
    <hyperlink ref="H66" r:id="rId198" xr:uid="{75D0EF17-753C-4E1C-8714-B3F6DEF6F25C}"/>
    <hyperlink ref="H61" r:id="rId199" xr:uid="{A2C8219B-36EC-4A2C-9644-C7F1AF61F953}"/>
    <hyperlink ref="H62" r:id="rId200" xr:uid="{E55418A0-6466-4EA3-9976-5AB5FF6CC09C}"/>
    <hyperlink ref="H14" r:id="rId201" xr:uid="{8D1F1A78-CE16-42E1-85DA-3FD4F72FAE7F}"/>
    <hyperlink ref="H68" r:id="rId202" display="https://stats.pacificdata.org/vis?tm=proficiency&amp;pg=0&amp;snb=4&amp;df[ds]=ds%3ASPC2&amp;df[id]=DF_SDG_04&amp;df[ag]=SPC&amp;df[vs]=3.0&amp;pd=%2C&amp;dq=A.SE_TOT_PRFL.._T._T._T._T.1_g7%2B1_y6..SKILL_MIN_LTRCY.&amp;ly[rw]=GEO_PICT%2CEDUCATION%2CCOMPOSITE_BREAKDOWN&amp;ly[cl]=TIME_PERIOD&amp;ly[rs]=INDICATOR&amp;to[TIME_PERIOD]=false" xr:uid="{1CAA89BD-EDC9-4191-8E07-8F4219084ABD}"/>
    <hyperlink ref="I68" r:id="rId203" xr:uid="{433028B9-67A4-48DC-A2EF-9576445546F8}"/>
    <hyperlink ref="H69" r:id="rId204" display="https://stats.pacificdata.org/vis?tm=proficiency&amp;pg=0&amp;snb=4&amp;df[ds]=ds%3ASPC2&amp;df[id]=DF_SDG_04&amp;df[ag]=SPC&amp;df[vs]=3.0&amp;pd=%2C&amp;dq=A.SE_TOT_PRFL..F._T._T._T.1_g7%2B1_y6..SKILL_MIN_LTRCY.&amp;ly[rw]=GEO_PICT%2CEDUCATION%2CCOMPOSITE_BREAKDOWN&amp;ly[cl]=TIME_PERIOD&amp;ly[rs]=INDICATOR&amp;to[TIME_PERIOD]=false" xr:uid="{ED502A5E-8BD4-4076-BED8-020F05B023CC}"/>
    <hyperlink ref="I69" r:id="rId205" xr:uid="{36A33898-019F-4BD7-9A6A-A93E690DB174}"/>
    <hyperlink ref="H70" r:id="rId206" display="https://stats.pacificdata.org/vis?tm=proficiency&amp;pg=0&amp;snb=4&amp;df[ds]=ds%3ASPC2&amp;df[id]=DF_SDG_04&amp;df[ag]=SPC&amp;df[vs]=3.0&amp;pd=%2C&amp;dq=A.SE_TOT_PRFL..M._T._T._T.1_g7%2B1_y6..SKILL_MIN_LTRCY.&amp;ly[rw]=GEO_PICT%2CEDUCATION%2CCOMPOSITE_BREAKDOWN&amp;ly[cl]=TIME_PERIOD&amp;ly[rs]=INDICATOR&amp;to[TIME_PERIOD]=false" xr:uid="{798005BF-E29A-483C-B882-88E73D1C9504}"/>
    <hyperlink ref="I70" r:id="rId207" xr:uid="{5AB2297F-BE0F-4E0C-AFE0-AE4A29E9055A}"/>
    <hyperlink ref="H71" r:id="rId208" display="https://stats.pacificdata.org/vis?tm=proficiency&amp;pg=0&amp;snb=4&amp;df[ds]=ds%3ASPC2&amp;df[id]=DF_SDG_04&amp;df[ag]=SPC&amp;df[vs]=3.0&amp;pd=%2C&amp;dq=A.SE_TOT_PRFL.._T._T._T._T.1_g7%2B1_y6..SKILL_MIN_NMRCY.&amp;ly[rw]=GEO_PICT%2CEDUCATION%2CCOMPOSITE_BREAKDOWN&amp;ly[cl]=TIME_PERIOD&amp;ly[rs]=INDICATOR&amp;to[TIME_PERIOD]=false" xr:uid="{080B4AA8-6147-4B57-A1FF-F87EF34BB9D6}"/>
    <hyperlink ref="I71" r:id="rId209" xr:uid="{D09C0623-04E5-47E2-9532-28D064491D5E}"/>
    <hyperlink ref="H72" r:id="rId210" display="https://stats.pacificdata.org/vis?tm=proficiency&amp;pg=0&amp;snb=4&amp;df[ds]=ds%3ASPC2&amp;df[id]=DF_SDG_04&amp;df[ag]=SPC&amp;df[vs]=3.0&amp;pd=%2C&amp;dq=A.SE_TOT_PRFL..F._T._T._T.1_g7%2B1_y6..SKILL_MIN_NMRCY.&amp;ly[rw]=GEO_PICT%2CEDUCATION%2CCOMPOSITE_BREAKDOWN&amp;ly[cl]=TIME_PERIOD&amp;ly[rs]=INDICATOR&amp;to[TIME_PERIOD]=false" xr:uid="{6768C1B1-5036-43CD-91BE-38F9B7A97AB3}"/>
    <hyperlink ref="I72" r:id="rId211" xr:uid="{701B90BA-2A85-4095-93F7-B6DC31F0274F}"/>
    <hyperlink ref="H73" r:id="rId212" display="https://stats.pacificdata.org/vis?tm=proficiency&amp;pg=0&amp;snb=4&amp;df[ds]=ds%3ASPC2&amp;df[id]=DF_SDG_04&amp;df[ag]=SPC&amp;df[vs]=3.0&amp;pd=%2C&amp;dq=A.SE_TOT_PRFL..M._T._T._T.1_g7%2B1_y6..SKILL_MIN_NMRCY.&amp;ly[rw]=GEO_PICT%2CEDUCATION%2CCOMPOSITE_BREAKDOWN&amp;ly[cl]=TIME_PERIOD&amp;ly[rs]=INDICATOR&amp;to[TIME_PERIOD]=false" xr:uid="{872F87C4-AF1A-4D26-AC3A-47AC8C51CABD}"/>
    <hyperlink ref="I73" r:id="rId213" xr:uid="{E1449F6C-F878-4A27-8ADA-4FF5988F243F}"/>
    <hyperlink ref="H45" r:id="rId214" xr:uid="{B7E70FEB-3AF1-4230-AEAE-D6B6AF523D5C}"/>
    <hyperlink ref="H46" r:id="rId215" xr:uid="{7AD1A6F7-0B83-4B7C-9A44-2C13EDFAC01E}"/>
    <hyperlink ref="H47" r:id="rId216" xr:uid="{ADDBD66F-C7B8-4A7F-A887-4A19AD526BAC}"/>
    <hyperlink ref="H142" r:id="rId217" display="https://stats.pacificdata.org/vis?fs[0]=Development%20indicators%2C0%7CSustainable%20Development%20Goals%23SDG%23&amp;pg=10&amp;fc=Development%20indicators&amp;bp=true&amp;snb=18&amp;df[ds]=ds%3ASPC2&amp;df[id]=DF_SDG_16&amp;df[ag]=SPC&amp;df[vs]=3.0&amp;pd=%2C&amp;dq=A.VC_PRS_UNSNT..._T.._T..._Z.&amp;ly[rw]=GEO_PICT&amp;ly[cl]=TIME_PERIOD&amp;ly[rs]=INDICATOR&amp;to[TIME_PERIOD]=false" xr:uid="{6EF77DFB-42C8-477F-883D-13BA8F278F88}"/>
    <hyperlink ref="I142" r:id="rId218" xr:uid="{2C5007FD-EF53-4443-BA38-C39EA992C01A}"/>
    <hyperlink ref="H147" r:id="rId219" display="https://stats.pacificdata.org/vis?fs[0]=Development%20indicators%2C0%7CSustainable%20Development%20Goals%23SDG%23&amp;pg=10&amp;fc=Development%20indicators&amp;bp=true&amp;snb=18&amp;df[ds]=ds%3ASPC2&amp;df[id]=DF_SDG_16&amp;df[ag]=SPC&amp;df[vs]=3.0&amp;pd=%2C&amp;dq=A.VC_IHR_PSRC.._T.._T._T..._Z.&amp;ly[rw]=GEO_PICT&amp;ly[cl]=TIME_PERIOD&amp;ly[rs]=INDICATOR&amp;to[TIME_PERIOD]=false" xr:uid="{35B26E51-FB41-439B-BE82-9CD55DB90984}"/>
    <hyperlink ref="I147" r:id="rId220" xr:uid="{790DF899-D17D-4E3E-B3D1-2961FD05C768}"/>
    <hyperlink ref="H63" r:id="rId221" display="https://stats.pacificdata.org/vis?fs[0]=Development%20indicators%2C0%7CNational%20Minimum%20Development%20Indicators%23NMDI%23&amp;pg=0&amp;fc=Development%20indicators&amp;bp=true&amp;snb=8&amp;df[ds]=ds%3ASPC2&amp;df[id]=DF_NMDI_EDU&amp;df[ag]=SPC&amp;df[vs]=1.0&amp;pd=%2C&amp;dq=A..NMDI0019._T._T.U._T.&amp;ly[rw]=GEO_PICT&amp;ly[cl]=TIME_PERIOD&amp;to[TIME_PERIOD]=false" xr:uid="{3B465A7B-92D3-4074-A2D7-E17000D54527}"/>
    <hyperlink ref="H64" r:id="rId222" display="https://stats.pacificdata.org/vis?fs[0]=Development%20indicators%2C0%7CNational%20Minimum%20Development%20Indicators%23NMDI%23&amp;pg=0&amp;fc=Development%20indicators&amp;bp=true&amp;snb=8&amp;df[ds]=ds%3ASPC2&amp;df[id]=DF_NMDI_EDU&amp;df[ag]=SPC&amp;df[vs]=1.0&amp;pd=%2C&amp;dq=A..NMDI0019._T._T.R._T.&amp;ly[rw]=GEO_PICT&amp;ly[cl]=TIME_PERIOD&amp;to[TIME_PERIOD]=false" xr:uid="{4EAA58DB-932E-4440-A3EE-160985C1CB6A}"/>
    <hyperlink ref="I64" r:id="rId223" xr:uid="{063C5EC4-3065-4A17-B1C3-1D805C145EDB}"/>
    <hyperlink ref="I63" r:id="rId224" xr:uid="{861C6F65-AC3E-4190-9E28-30BD09490DCD}"/>
    <hyperlink ref="H37" r:id="rId225" display="https://stats.pacificdata.org/vis?fs[0]=Development%20indicators%2C0%7CNational%20Minimum%20Development%20Indicators%23NMDI%23&amp;pg=0&amp;fc=Development%20indicators&amp;bp=true&amp;snb=8&amp;df[ds]=ds%3ASPC2&amp;df[id]=DF_NMDI_HEA&amp;df[ag]=SPC&amp;df[vs]=1.0&amp;pd=%2C&amp;dq=A..NMDI0103._T._T._T..&amp;ly[rw]=GEO_PICT&amp;ly[cl]=TIME_PERIOD&amp;to[TIME_PERIOD]=false" xr:uid="{E4F795E3-33A0-4170-AB19-D7389B0B5C41}"/>
    <hyperlink ref="I37" r:id="rId226" xr:uid="{AB422F43-FD66-42D0-8EBB-4B9FF97C1DF2}"/>
    <hyperlink ref="H38" r:id="rId227" display="https://stats.pacificdata.org/vis?fs[0]=Development%20indicators%2C0%7CNational%20Minimum%20Development%20Indicators%23NMDI%23&amp;pg=0&amp;fc=Development%20indicators&amp;bp=true&amp;snb=8&amp;df[ds]=ds%3ASPC2&amp;df[id]=DF_NMDI_HEA&amp;df[ag]=SPC&amp;df[vs]=1.0&amp;pd=%2C&amp;dq=A..NMDI0145._T._T._T..&amp;ly[rw]=GEO_PICT&amp;ly[cl]=TIME_PERIOD&amp;to[TIME_PERIOD]=false" xr:uid="{43789CB1-5DC9-4073-A3CC-61407425CA82}"/>
    <hyperlink ref="I38" r:id="rId228" xr:uid="{D82AFCD2-4238-4118-BDA9-ECED042561B0}"/>
    <hyperlink ref="H39" r:id="rId229" display="https://stats.pacificdata.org/vis?fs[0]=Development%20indicators%2C0%7CNational%20Minimum%20Development%20Indicators%23NMDI%23&amp;pg=0&amp;fc=Development%20indicators&amp;bp=true&amp;snb=8&amp;df[ds]=ds%3ASPC2&amp;df[id]=DF_NMDI_HEA&amp;df[ag]=SPC&amp;df[vs]=1.0&amp;pd=%2C&amp;dq=A..NMDI0146._T._T._T..&amp;ly[rw]=GEO_PICT&amp;ly[cl]=TIME_PERIOD&amp;to[TIME_PERIOD]=false" xr:uid="{7BF3B34F-F528-4C05-A3B9-6605FF30BE68}"/>
    <hyperlink ref="I39" r:id="rId230" xr:uid="{8513DCE5-D348-49C5-9B4D-5AD48D9B0FE6}"/>
    <hyperlink ref="H58" r:id="rId231" xr:uid="{7CA65077-6F5F-4A1D-A5EA-13D064F138A3}"/>
    <hyperlink ref="I58" r:id="rId232" xr:uid="{4CA0E457-16ED-4283-B04D-3189A4FE67C0}"/>
    <hyperlink ref="H59" r:id="rId233" xr:uid="{11FA693B-A0D2-4B34-A111-A325C19376F8}"/>
    <hyperlink ref="I59" r:id="rId234" xr:uid="{D938C8ED-6B2C-402D-8680-652A5C5C0ABB}"/>
    <hyperlink ref="H49" r:id="rId235" xr:uid="{2F7DA5F1-ABCF-4FF3-8532-8F57DD197DF9}"/>
    <hyperlink ref="I49" r:id="rId236" xr:uid="{2834E308-1277-410A-804D-D175838708F2}"/>
    <hyperlink ref="O74" r:id="rId237" display="https://data.un.org/Data.aspx?d=UNESCO&amp;f=series%3aTHAGE_1" xr:uid="{32C53743-A0CF-4E90-91C8-CA3E5E1F5D8C}"/>
    <hyperlink ref="O76" r:id="rId238" location="indicatorPaths=UIS-EducationOPRI%3A0%3AMYS.1T8.AG25T99%2CUIS-EducationOPRI%3A0%3AMYS.1T8.AG25T99.M%2CUIS-EducationOPRI%3A0%3AMYS.1T8.AG25T99.F&amp;geoMode=countries&amp;geoUnits=ASM%2CCOK%2CFJI%2CPYF%2CGUM%2CKIR%2CMHL%2CNRU%2CNCL%2CNIU%2CPLW%2CPNG%2CWSM%2CTON%2CTUV%2CVUT&amp;browsePath=EDUCATION%2FUIS-EducationOPRI&amp;timeMode=range&amp;view=table&amp;chartMode=multiple&amp;tableIndicatorId=MYS.1T8.AG25T99&amp;chartIndicatorId=MYS.1T8.AG25T99&amp;chartHighlightSeries=&amp;chartHighlightEnabled=true" display="https://databrowser.uis.unesco.org/view - indicatorPaths=UIS-EducationOPRI%3A0%3AMYS.1T8.AG25T99%2CUIS-EducationOPRI%3A0%3AMYS.1T8.AG25T99.M%2CUIS-EducationOPRI%3A0%3AMYS.1T8.AG25T99.F&amp;geoMode=countries&amp;geoUnits=ASM%2CCOK%2CFJI%2CPYF%2CGUM%2CKIR%2CMHL%2CNRU%2CNCL%2CNIU%2CPLW%2CPNG%2CWSM%2CTON%2CTUV%2CVUT&amp;browsePath=EDUCATION%2FUIS-EducationOPRI&amp;timeMode=range&amp;view=table&amp;chartMode=multiple&amp;tableIndicatorId=MYS.1T8.AG25T99&amp;chartIndicatorId=MYS.1T8.AG25T99&amp;chartHighlightSeries=&amp;chartHighlightEnabled=true" xr:uid="{C64F11DA-F028-4100-94C2-8D06F4256DBC}"/>
    <hyperlink ref="O77" r:id="rId239" location="indicatorPaths=UIS-EducationOPRI%3A0%3A400%2CUIS-EducationOPRI%3A0%3A401%2CUIS-SDG4Monitoring%3A0%3AYEARS.FC.COMP.1T3&amp;geoMode=countries&amp;geoUnits=ASM%2CCOK%2CFJI%2CPYF%2CGUM%2CKIR%2CMHL%2CNRU%2CNCL%2CNIU%2CPLW%2CPNG%2CWSM%2CTON%2CTUV%2CVUT&amp;browsePath=EDUCATION%2FUIS-EducationOPRI&amp;timeMode=range&amp;view=table&amp;chartMode=multiple&amp;tableIndicatorId=400&amp;chartIndicatorId=MYS.1T8.AG25T99&amp;chartHighlightSeries=&amp;chartHighlightEnabled=true" display="https://databrowser.uis.unesco.org/view - indicatorPaths=UIS-EducationOPRI%3A0%3A400%2CUIS-EducationOPRI%3A0%3A401%2CUIS-SDG4Monitoring%3A0%3AYEARS.FC.COMP.1T3&amp;geoMode=countries&amp;geoUnits=ASM%2CCOK%2CFJI%2CPYF%2CGUM%2CKIR%2CMHL%2CNRU%2CNCL%2CNIU%2CPLW%2CPNG%2CWSM%2CTON%2CTUV%2CVUT&amp;browsePath=EDUCATION%2FUIS-EducationOPRI&amp;timeMode=range&amp;view=table&amp;chartMode=multiple&amp;tableIndicatorId=400&amp;chartIndicatorId=MYS.1T8.AG25T99&amp;chartHighlightSeries=&amp;chartHighlightEnabled=true" xr:uid="{72BE80B9-0810-46D7-80BD-286A385CA22E}"/>
    <hyperlink ref="H162" r:id="rId240" xr:uid="{244C2184-5F88-4424-961A-4761A2691642}"/>
    <hyperlink ref="I162" r:id="rId241" xr:uid="{2031929A-D5FA-40E0-B39D-85DDD3795ACA}"/>
    <hyperlink ref="H163" r:id="rId242" xr:uid="{BA2AB02F-CDF3-4049-B309-AB458677178B}"/>
    <hyperlink ref="I163" r:id="rId243" xr:uid="{F5CC101D-2CD7-43C0-9AB1-F855560D20BC}"/>
    <hyperlink ref="O58" r:id="rId244" xr:uid="{16F8DE6D-4789-4037-B740-2C00043878C7}"/>
    <hyperlink ref="O59" r:id="rId245" xr:uid="{31EB1D93-4C79-47AD-AB2F-A5C97A93730B}"/>
    <hyperlink ref="O90" r:id="rId246" display="https://stats.pacificdata.org/vis?tm=population%20structure%20by%20age&amp;pg=0&amp;snb=2&amp;df%5bds%5d=ds%3ASPC2&amp;df%5bid%5d=DF_POP_AGE&amp;df%5bag%5d=SPC&amp;df%5bvs%5d=1.0&amp;dq=A..POP15T64%2BPOP15T59%2BPOP00T14%2BDEPRATIO1559%2BDEPRATIO1564._T&amp;pd=2022%2C2022&amp;to%5bTIME_PERIOD%5d=false&amp;ly%5bcl%5d=INDICATOR%2CUNIT&amp;ly%5brw%5d=GEO_PICT" xr:uid="{EA963ADB-45D6-4DD5-A765-946AB458D304}"/>
    <hyperlink ref="O148" r:id="rId247" xr:uid="{689AE225-8B17-4C91-99AF-4A72BD40BB9B}"/>
    <hyperlink ref="I115" r:id="rId248" xr:uid="{D090B3CE-FF00-421D-B12A-0637DF9FD630}"/>
    <hyperlink ref="H116" r:id="rId249" display="https://stats.pacificdata.org/vis?fs[0]=Development%20indicators,0%7CSustainable%20Development%20Goals%23SDG%23&amp;pg=10&amp;fc=Development%20indicators&amp;bp=true&amp;snb=18&amp;df[ds]=ds%3ASPC2&amp;df[id]=DF_SDG_11&amp;df[ag]=SPC&amp;df[vs]=4.3&amp;dq=A.G.VC_DSR_LSGP............&amp;pd=,&amp;to[TIME_PERIOD]=false&amp;isAvailabilityDisabled=false&amp;page=0" xr:uid="{A6C92299-B22F-4E4F-B9B4-E8E5C88FBAC3}"/>
    <hyperlink ref="I116" r:id="rId250" xr:uid="{ACCA7A8F-1DFF-4D0E-9481-53E27163BB39}"/>
  </hyperlinks>
  <pageMargins left="0.7" right="0.7" top="0.75" bottom="0.75" header="0.3" footer="0.3"/>
  <pageSetup paperSize="9" orientation="portrait" r:id="rId251"/>
  <legacyDrawing r:id="rId25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677A-D340-40A1-88C6-718C3B961A81}">
  <dimension ref="A1:I126"/>
  <sheetViews>
    <sheetView zoomScaleNormal="100" workbookViewId="0">
      <selection activeCell="A8" sqref="A8"/>
    </sheetView>
  </sheetViews>
  <sheetFormatPr defaultColWidth="25.81640625" defaultRowHeight="14.5" outlineLevelCol="1" x14ac:dyDescent="0.35"/>
  <cols>
    <col min="1" max="1" width="10.54296875" style="18" customWidth="1"/>
    <col min="2" max="2" width="54.453125" style="18" bestFit="1" customWidth="1"/>
    <col min="3" max="3" width="24.453125" customWidth="1"/>
    <col min="4" max="4" width="92.7265625" customWidth="1"/>
    <col min="5" max="5" width="14.1796875" customWidth="1"/>
    <col min="6" max="6" width="16.81640625" customWidth="1"/>
    <col min="7" max="8" width="25.81640625" customWidth="1" outlineLevel="1"/>
    <col min="9" max="9" width="32" style="14" customWidth="1"/>
  </cols>
  <sheetData>
    <row r="1" spans="1:9" ht="29" x14ac:dyDescent="0.35">
      <c r="A1" s="7" t="s">
        <v>782</v>
      </c>
      <c r="B1" s="7" t="s">
        <v>783</v>
      </c>
      <c r="C1" s="7" t="s">
        <v>784</v>
      </c>
      <c r="D1" s="7" t="s">
        <v>785</v>
      </c>
      <c r="E1" s="7" t="s">
        <v>786</v>
      </c>
      <c r="F1" s="7" t="s">
        <v>787</v>
      </c>
      <c r="G1" s="7" t="s">
        <v>788</v>
      </c>
      <c r="H1" s="7" t="s">
        <v>789</v>
      </c>
      <c r="I1" s="8" t="s">
        <v>790</v>
      </c>
    </row>
    <row r="2" spans="1:9" ht="29" x14ac:dyDescent="0.35">
      <c r="A2" s="9" t="s">
        <v>791</v>
      </c>
      <c r="B2" s="9" t="s">
        <v>792</v>
      </c>
      <c r="C2" s="10" t="s">
        <v>156</v>
      </c>
      <c r="D2" s="9" t="s">
        <v>793</v>
      </c>
      <c r="E2" s="10"/>
      <c r="F2" s="11" t="s">
        <v>794</v>
      </c>
      <c r="G2" s="12" t="s">
        <v>795</v>
      </c>
      <c r="H2" s="13"/>
      <c r="I2"/>
    </row>
    <row r="3" spans="1:9" ht="29" x14ac:dyDescent="0.35">
      <c r="A3" s="9" t="s">
        <v>791</v>
      </c>
      <c r="B3" s="9" t="s">
        <v>276</v>
      </c>
      <c r="C3" s="10" t="s">
        <v>269</v>
      </c>
      <c r="D3" s="9" t="s">
        <v>796</v>
      </c>
      <c r="E3" s="10"/>
      <c r="F3" s="11" t="s">
        <v>794</v>
      </c>
      <c r="G3" s="12" t="s">
        <v>797</v>
      </c>
      <c r="H3" s="13"/>
      <c r="I3"/>
    </row>
    <row r="4" spans="1:9" ht="58" x14ac:dyDescent="0.35">
      <c r="A4" s="9" t="s">
        <v>791</v>
      </c>
      <c r="B4" s="9" t="s">
        <v>610</v>
      </c>
      <c r="C4" s="10" t="s">
        <v>578</v>
      </c>
      <c r="D4" s="9" t="s">
        <v>798</v>
      </c>
      <c r="E4" s="10" t="s">
        <v>799</v>
      </c>
      <c r="F4" s="11" t="s">
        <v>794</v>
      </c>
      <c r="G4" s="12" t="s">
        <v>800</v>
      </c>
      <c r="H4" s="13"/>
      <c r="I4"/>
    </row>
    <row r="5" spans="1:9" x14ac:dyDescent="0.35">
      <c r="A5" s="9" t="s">
        <v>791</v>
      </c>
      <c r="B5" s="9" t="s">
        <v>605</v>
      </c>
      <c r="C5" s="10" t="s">
        <v>578</v>
      </c>
      <c r="D5" s="9" t="s">
        <v>798</v>
      </c>
      <c r="E5" s="10"/>
      <c r="F5" s="11" t="s">
        <v>801</v>
      </c>
      <c r="G5" s="12"/>
      <c r="H5" s="13" t="s">
        <v>802</v>
      </c>
      <c r="I5" s="14" t="s">
        <v>803</v>
      </c>
    </row>
    <row r="6" spans="1:9" ht="36" customHeight="1" x14ac:dyDescent="0.35">
      <c r="A6" s="9" t="s">
        <v>791</v>
      </c>
      <c r="B6" s="9" t="s">
        <v>358</v>
      </c>
      <c r="C6" s="10" t="s">
        <v>269</v>
      </c>
      <c r="D6" s="9" t="s">
        <v>804</v>
      </c>
      <c r="E6" s="10"/>
      <c r="F6" s="11" t="s">
        <v>801</v>
      </c>
      <c r="G6" s="12"/>
      <c r="H6" s="13" t="s">
        <v>805</v>
      </c>
      <c r="I6" s="15" t="s">
        <v>806</v>
      </c>
    </row>
    <row r="7" spans="1:9" ht="29" x14ac:dyDescent="0.35">
      <c r="A7" s="9" t="s">
        <v>791</v>
      </c>
      <c r="B7" s="9" t="s">
        <v>267</v>
      </c>
      <c r="C7" s="10" t="s">
        <v>156</v>
      </c>
      <c r="D7" s="9" t="s">
        <v>807</v>
      </c>
      <c r="E7" s="10"/>
      <c r="F7" s="11" t="s">
        <v>801</v>
      </c>
      <c r="G7" s="12"/>
      <c r="H7" s="13" t="s">
        <v>805</v>
      </c>
      <c r="I7" s="14" t="s">
        <v>808</v>
      </c>
    </row>
    <row r="8" spans="1:9" ht="43.5" x14ac:dyDescent="0.35">
      <c r="A8" s="9" t="s">
        <v>791</v>
      </c>
      <c r="B8" s="9" t="s">
        <v>224</v>
      </c>
      <c r="C8" s="10" t="s">
        <v>156</v>
      </c>
      <c r="D8" s="9" t="s">
        <v>809</v>
      </c>
      <c r="E8" s="10" t="s">
        <v>810</v>
      </c>
      <c r="F8" s="11" t="s">
        <v>794</v>
      </c>
      <c r="G8" s="12" t="s">
        <v>811</v>
      </c>
      <c r="H8" s="13"/>
      <c r="I8"/>
    </row>
    <row r="9" spans="1:9" ht="43.5" x14ac:dyDescent="0.35">
      <c r="A9" s="9" t="s">
        <v>791</v>
      </c>
      <c r="B9" s="9" t="s">
        <v>239</v>
      </c>
      <c r="C9" s="10" t="s">
        <v>156</v>
      </c>
      <c r="D9" s="16" t="s">
        <v>812</v>
      </c>
      <c r="E9" s="10" t="s">
        <v>813</v>
      </c>
      <c r="F9" s="11" t="s">
        <v>794</v>
      </c>
      <c r="G9" s="12" t="s">
        <v>811</v>
      </c>
      <c r="H9" s="13"/>
      <c r="I9"/>
    </row>
    <row r="10" spans="1:9" x14ac:dyDescent="0.35">
      <c r="A10" s="9" t="s">
        <v>791</v>
      </c>
      <c r="B10" s="9" t="s">
        <v>814</v>
      </c>
      <c r="C10" s="10" t="s">
        <v>269</v>
      </c>
      <c r="D10" s="9" t="s">
        <v>815</v>
      </c>
      <c r="E10" s="10" t="s">
        <v>816</v>
      </c>
      <c r="F10" s="11" t="s">
        <v>794</v>
      </c>
      <c r="G10" s="12" t="s">
        <v>817</v>
      </c>
      <c r="H10" s="13"/>
      <c r="I10"/>
    </row>
    <row r="11" spans="1:9" ht="29" x14ac:dyDescent="0.35">
      <c r="A11" s="9" t="s">
        <v>791</v>
      </c>
      <c r="B11" s="9" t="s">
        <v>281</v>
      </c>
      <c r="C11" s="10" t="s">
        <v>269</v>
      </c>
      <c r="D11" s="9" t="s">
        <v>818</v>
      </c>
      <c r="E11" s="10" t="s">
        <v>819</v>
      </c>
      <c r="F11" s="11" t="s">
        <v>794</v>
      </c>
      <c r="G11" s="12" t="s">
        <v>817</v>
      </c>
      <c r="H11" s="13"/>
      <c r="I11"/>
    </row>
    <row r="12" spans="1:9" ht="29" x14ac:dyDescent="0.35">
      <c r="A12" s="9" t="s">
        <v>791</v>
      </c>
      <c r="B12" s="9" t="s">
        <v>291</v>
      </c>
      <c r="C12" s="10" t="s">
        <v>269</v>
      </c>
      <c r="D12" s="9" t="s">
        <v>818</v>
      </c>
      <c r="E12" s="10" t="s">
        <v>820</v>
      </c>
      <c r="F12" s="11" t="s">
        <v>801</v>
      </c>
      <c r="G12" s="12"/>
      <c r="H12" s="13" t="s">
        <v>821</v>
      </c>
      <c r="I12" s="14" t="s">
        <v>822</v>
      </c>
    </row>
    <row r="13" spans="1:9" ht="43.5" x14ac:dyDescent="0.35">
      <c r="A13" s="9" t="s">
        <v>791</v>
      </c>
      <c r="B13" s="9" t="s">
        <v>249</v>
      </c>
      <c r="C13" s="10" t="s">
        <v>156</v>
      </c>
      <c r="D13" s="9" t="s">
        <v>823</v>
      </c>
      <c r="E13" s="10" t="s">
        <v>824</v>
      </c>
      <c r="F13" s="11" t="s">
        <v>794</v>
      </c>
      <c r="G13" s="12" t="s">
        <v>811</v>
      </c>
      <c r="H13" s="13"/>
      <c r="I13"/>
    </row>
    <row r="14" spans="1:9" ht="29" x14ac:dyDescent="0.35">
      <c r="A14" s="9" t="s">
        <v>791</v>
      </c>
      <c r="B14" s="9" t="s">
        <v>197</v>
      </c>
      <c r="C14" s="10" t="s">
        <v>156</v>
      </c>
      <c r="D14" s="9" t="s">
        <v>825</v>
      </c>
      <c r="E14" s="10" t="s">
        <v>826</v>
      </c>
      <c r="F14" s="11" t="s">
        <v>794</v>
      </c>
      <c r="G14" s="12" t="s">
        <v>811</v>
      </c>
      <c r="H14" s="13"/>
      <c r="I14"/>
    </row>
    <row r="15" spans="1:9" x14ac:dyDescent="0.35">
      <c r="A15" s="9" t="s">
        <v>791</v>
      </c>
      <c r="B15" s="9" t="s">
        <v>619</v>
      </c>
      <c r="C15" s="10" t="s">
        <v>578</v>
      </c>
      <c r="D15" s="9" t="s">
        <v>827</v>
      </c>
      <c r="E15" s="10" t="s">
        <v>828</v>
      </c>
      <c r="F15" s="11" t="s">
        <v>801</v>
      </c>
      <c r="G15" s="12"/>
      <c r="H15" s="13" t="s">
        <v>821</v>
      </c>
      <c r="I15" s="14" t="s">
        <v>822</v>
      </c>
    </row>
    <row r="16" spans="1:9" x14ac:dyDescent="0.35">
      <c r="A16" s="9" t="s">
        <v>791</v>
      </c>
      <c r="B16" s="9" t="s">
        <v>829</v>
      </c>
      <c r="C16" s="10" t="s">
        <v>269</v>
      </c>
      <c r="D16" s="9" t="s">
        <v>830</v>
      </c>
      <c r="E16" s="10"/>
      <c r="F16" s="11" t="s">
        <v>794</v>
      </c>
      <c r="G16" s="12" t="s">
        <v>797</v>
      </c>
      <c r="H16" s="13" t="s">
        <v>831</v>
      </c>
      <c r="I16"/>
    </row>
    <row r="17" spans="1:9" ht="58" x14ac:dyDescent="0.35">
      <c r="A17" s="9" t="s">
        <v>791</v>
      </c>
      <c r="B17" s="9" t="s">
        <v>168</v>
      </c>
      <c r="C17" s="10" t="s">
        <v>156</v>
      </c>
      <c r="D17" s="16" t="s">
        <v>832</v>
      </c>
      <c r="E17" s="10"/>
      <c r="F17" s="11" t="s">
        <v>794</v>
      </c>
      <c r="G17" s="12" t="s">
        <v>797</v>
      </c>
      <c r="H17" s="13" t="s">
        <v>831</v>
      </c>
      <c r="I17"/>
    </row>
    <row r="18" spans="1:9" ht="58" x14ac:dyDescent="0.35">
      <c r="A18" s="9" t="s">
        <v>791</v>
      </c>
      <c r="B18" s="9" t="s">
        <v>244</v>
      </c>
      <c r="C18" s="10" t="s">
        <v>156</v>
      </c>
      <c r="D18" s="9" t="s">
        <v>833</v>
      </c>
      <c r="E18" s="10" t="s">
        <v>824</v>
      </c>
      <c r="F18" s="11" t="s">
        <v>801</v>
      </c>
      <c r="G18" s="12"/>
      <c r="H18" s="13" t="s">
        <v>821</v>
      </c>
      <c r="I18" s="17" t="s">
        <v>803</v>
      </c>
    </row>
    <row r="19" spans="1:9" ht="43.5" x14ac:dyDescent="0.35">
      <c r="A19" s="9" t="s">
        <v>791</v>
      </c>
      <c r="B19" s="9" t="s">
        <v>834</v>
      </c>
      <c r="C19" s="10" t="s">
        <v>835</v>
      </c>
      <c r="D19" s="9" t="s">
        <v>836</v>
      </c>
      <c r="E19" s="10"/>
      <c r="F19" s="11" t="s">
        <v>801</v>
      </c>
      <c r="G19" s="12"/>
      <c r="H19" s="13" t="s">
        <v>837</v>
      </c>
      <c r="I19" s="14" t="s">
        <v>838</v>
      </c>
    </row>
    <row r="20" spans="1:9" ht="43.5" x14ac:dyDescent="0.35">
      <c r="A20" s="9" t="s">
        <v>791</v>
      </c>
      <c r="B20" s="9" t="s">
        <v>113</v>
      </c>
      <c r="C20" s="10" t="s">
        <v>839</v>
      </c>
      <c r="D20" s="9" t="s">
        <v>836</v>
      </c>
      <c r="E20" s="10"/>
      <c r="F20" s="11" t="s">
        <v>801</v>
      </c>
      <c r="G20" s="12"/>
      <c r="H20" s="13" t="s">
        <v>837</v>
      </c>
      <c r="I20" s="14" t="s">
        <v>803</v>
      </c>
    </row>
    <row r="21" spans="1:9" x14ac:dyDescent="0.35">
      <c r="A21" s="9" t="s">
        <v>791</v>
      </c>
      <c r="B21" s="9" t="s">
        <v>186</v>
      </c>
      <c r="C21" s="10" t="s">
        <v>156</v>
      </c>
      <c r="D21" s="9" t="s">
        <v>840</v>
      </c>
      <c r="E21" s="10" t="s">
        <v>841</v>
      </c>
      <c r="F21" s="11" t="s">
        <v>794</v>
      </c>
      <c r="G21" s="12" t="s">
        <v>842</v>
      </c>
      <c r="H21" s="13" t="s">
        <v>843</v>
      </c>
      <c r="I21"/>
    </row>
    <row r="22" spans="1:9" x14ac:dyDescent="0.35">
      <c r="A22" s="9" t="s">
        <v>791</v>
      </c>
      <c r="B22" s="9" t="s">
        <v>360</v>
      </c>
      <c r="C22" s="10" t="s">
        <v>269</v>
      </c>
      <c r="D22" s="9" t="s">
        <v>844</v>
      </c>
      <c r="E22" s="10"/>
      <c r="F22" s="11" t="s">
        <v>801</v>
      </c>
      <c r="G22" s="12"/>
      <c r="H22" s="13" t="s">
        <v>805</v>
      </c>
      <c r="I22" s="14" t="s">
        <v>822</v>
      </c>
    </row>
    <row r="23" spans="1:9" ht="29" x14ac:dyDescent="0.35">
      <c r="A23" s="9" t="s">
        <v>791</v>
      </c>
      <c r="B23" s="9" t="s">
        <v>368</v>
      </c>
      <c r="C23" s="10" t="s">
        <v>835</v>
      </c>
      <c r="D23" s="9" t="s">
        <v>845</v>
      </c>
      <c r="E23" s="10" t="s">
        <v>846</v>
      </c>
      <c r="F23" s="11" t="s">
        <v>794</v>
      </c>
      <c r="G23" s="12" t="s">
        <v>847</v>
      </c>
      <c r="H23" s="13"/>
      <c r="I23"/>
    </row>
    <row r="24" spans="1:9" ht="43.5" x14ac:dyDescent="0.35">
      <c r="A24" s="9" t="s">
        <v>791</v>
      </c>
      <c r="B24" s="9" t="s">
        <v>263</v>
      </c>
      <c r="C24" s="10" t="s">
        <v>156</v>
      </c>
      <c r="D24" s="9" t="s">
        <v>848</v>
      </c>
      <c r="E24" s="10"/>
      <c r="F24" s="11" t="s">
        <v>794</v>
      </c>
      <c r="G24" s="12" t="s">
        <v>811</v>
      </c>
      <c r="H24" s="13"/>
      <c r="I24"/>
    </row>
    <row r="25" spans="1:9" x14ac:dyDescent="0.35">
      <c r="A25" s="9" t="s">
        <v>791</v>
      </c>
      <c r="B25" s="9" t="s">
        <v>623</v>
      </c>
      <c r="C25" s="10" t="s">
        <v>578</v>
      </c>
      <c r="D25" s="9" t="s">
        <v>849</v>
      </c>
      <c r="E25" s="10"/>
      <c r="F25" s="11" t="s">
        <v>801</v>
      </c>
      <c r="G25" s="12"/>
      <c r="H25" s="13" t="s">
        <v>805</v>
      </c>
      <c r="I25" s="14" t="s">
        <v>822</v>
      </c>
    </row>
    <row r="26" spans="1:9" ht="87" x14ac:dyDescent="0.35">
      <c r="A26" s="9" t="s">
        <v>791</v>
      </c>
      <c r="B26" s="9" t="s">
        <v>212</v>
      </c>
      <c r="C26" s="10" t="s">
        <v>156</v>
      </c>
      <c r="D26" s="9" t="s">
        <v>850</v>
      </c>
      <c r="E26" s="10" t="s">
        <v>851</v>
      </c>
      <c r="F26" s="11" t="s">
        <v>801</v>
      </c>
      <c r="G26" s="12"/>
      <c r="H26" s="13" t="s">
        <v>805</v>
      </c>
      <c r="I26" s="15" t="s">
        <v>852</v>
      </c>
    </row>
    <row r="27" spans="1:9" ht="29" x14ac:dyDescent="0.35">
      <c r="A27" s="9" t="s">
        <v>791</v>
      </c>
      <c r="B27" s="9" t="s">
        <v>207</v>
      </c>
      <c r="C27" s="10" t="s">
        <v>156</v>
      </c>
      <c r="D27" s="9" t="s">
        <v>853</v>
      </c>
      <c r="E27" s="10" t="s">
        <v>854</v>
      </c>
      <c r="F27" s="11" t="s">
        <v>794</v>
      </c>
      <c r="G27" s="12" t="s">
        <v>811</v>
      </c>
      <c r="H27" s="13"/>
      <c r="I27"/>
    </row>
    <row r="28" spans="1:9" x14ac:dyDescent="0.35">
      <c r="A28" s="9" t="s">
        <v>791</v>
      </c>
      <c r="B28" s="9" t="s">
        <v>229</v>
      </c>
      <c r="C28" s="10" t="s">
        <v>156</v>
      </c>
      <c r="D28" s="9" t="s">
        <v>855</v>
      </c>
      <c r="E28" s="10"/>
      <c r="F28" s="11" t="s">
        <v>794</v>
      </c>
      <c r="G28" s="12" t="s">
        <v>795</v>
      </c>
      <c r="H28" s="13"/>
      <c r="I28"/>
    </row>
    <row r="29" spans="1:9" ht="29" x14ac:dyDescent="0.35">
      <c r="A29" s="9" t="s">
        <v>856</v>
      </c>
      <c r="B29" s="9" t="s">
        <v>438</v>
      </c>
      <c r="C29" s="10" t="s">
        <v>420</v>
      </c>
      <c r="D29" s="9" t="s">
        <v>857</v>
      </c>
      <c r="E29" s="10"/>
      <c r="F29" s="11" t="s">
        <v>801</v>
      </c>
      <c r="G29" s="12"/>
      <c r="H29" s="13" t="s">
        <v>858</v>
      </c>
      <c r="I29" s="14" t="s">
        <v>859</v>
      </c>
    </row>
    <row r="30" spans="1:9" ht="43.5" x14ac:dyDescent="0.35">
      <c r="A30" s="9" t="s">
        <v>856</v>
      </c>
      <c r="B30" s="9" t="s">
        <v>567</v>
      </c>
      <c r="C30" s="10" t="s">
        <v>860</v>
      </c>
      <c r="D30" s="9" t="s">
        <v>861</v>
      </c>
      <c r="E30" s="10" t="s">
        <v>862</v>
      </c>
      <c r="F30" s="11" t="s">
        <v>801</v>
      </c>
      <c r="G30" s="12"/>
      <c r="H30" s="13" t="s">
        <v>863</v>
      </c>
      <c r="I30" s="15" t="s">
        <v>864</v>
      </c>
    </row>
    <row r="31" spans="1:9" x14ac:dyDescent="0.35">
      <c r="A31" s="9" t="s">
        <v>856</v>
      </c>
      <c r="B31" s="9" t="s">
        <v>865</v>
      </c>
      <c r="C31" s="10" t="s">
        <v>578</v>
      </c>
      <c r="D31" s="9" t="s">
        <v>866</v>
      </c>
      <c r="E31" s="10" t="s">
        <v>867</v>
      </c>
      <c r="F31" s="11" t="s">
        <v>794</v>
      </c>
      <c r="G31" s="12" t="s">
        <v>868</v>
      </c>
      <c r="H31" s="13"/>
      <c r="I31"/>
    </row>
    <row r="32" spans="1:9" ht="43.5" x14ac:dyDescent="0.35">
      <c r="A32" s="9" t="s">
        <v>856</v>
      </c>
      <c r="B32" s="9" t="s">
        <v>659</v>
      </c>
      <c r="C32" s="10" t="s">
        <v>869</v>
      </c>
      <c r="D32" s="9" t="s">
        <v>870</v>
      </c>
      <c r="E32" s="10" t="s">
        <v>871</v>
      </c>
      <c r="F32" s="11" t="s">
        <v>794</v>
      </c>
      <c r="G32" s="12" t="s">
        <v>872</v>
      </c>
      <c r="H32" s="13"/>
      <c r="I32"/>
    </row>
    <row r="33" spans="1:9" ht="29" x14ac:dyDescent="0.35">
      <c r="A33" s="9" t="s">
        <v>856</v>
      </c>
      <c r="B33" s="9" t="s">
        <v>649</v>
      </c>
      <c r="C33" s="10" t="s">
        <v>869</v>
      </c>
      <c r="D33" s="9" t="s">
        <v>870</v>
      </c>
      <c r="E33" s="10" t="s">
        <v>873</v>
      </c>
      <c r="F33" s="11" t="s">
        <v>794</v>
      </c>
      <c r="G33" s="12" t="s">
        <v>872</v>
      </c>
      <c r="H33" s="13"/>
      <c r="I33"/>
    </row>
    <row r="34" spans="1:9" x14ac:dyDescent="0.35">
      <c r="A34" s="9" t="s">
        <v>856</v>
      </c>
      <c r="B34" s="9" t="s">
        <v>565</v>
      </c>
      <c r="C34" s="10" t="s">
        <v>860</v>
      </c>
      <c r="D34" s="9" t="s">
        <v>874</v>
      </c>
      <c r="E34" s="10">
        <v>14.7</v>
      </c>
      <c r="F34" s="11" t="s">
        <v>801</v>
      </c>
      <c r="G34" s="12"/>
      <c r="H34" s="13" t="s">
        <v>805</v>
      </c>
      <c r="I34" s="14" t="s">
        <v>875</v>
      </c>
    </row>
    <row r="35" spans="1:9" x14ac:dyDescent="0.35">
      <c r="A35" s="9" t="s">
        <v>856</v>
      </c>
      <c r="B35" s="9" t="s">
        <v>526</v>
      </c>
      <c r="C35" s="10" t="s">
        <v>876</v>
      </c>
      <c r="D35" s="9" t="s">
        <v>877</v>
      </c>
      <c r="E35" s="10"/>
      <c r="F35" s="11" t="s">
        <v>794</v>
      </c>
      <c r="G35" s="12" t="s">
        <v>847</v>
      </c>
      <c r="H35" s="13"/>
      <c r="I35"/>
    </row>
    <row r="36" spans="1:9" ht="29" x14ac:dyDescent="0.35">
      <c r="A36" s="9" t="s">
        <v>856</v>
      </c>
      <c r="B36" s="9" t="s">
        <v>456</v>
      </c>
      <c r="C36" s="10" t="s">
        <v>420</v>
      </c>
      <c r="D36" s="9" t="s">
        <v>878</v>
      </c>
      <c r="E36" s="10"/>
      <c r="F36" s="11" t="s">
        <v>794</v>
      </c>
      <c r="G36" s="12" t="s">
        <v>879</v>
      </c>
      <c r="H36" s="13"/>
      <c r="I36"/>
    </row>
    <row r="37" spans="1:9" ht="29" x14ac:dyDescent="0.35">
      <c r="A37" s="9" t="s">
        <v>856</v>
      </c>
      <c r="B37" s="9" t="s">
        <v>460</v>
      </c>
      <c r="C37" s="10" t="s">
        <v>420</v>
      </c>
      <c r="D37" s="9" t="s">
        <v>878</v>
      </c>
      <c r="E37" s="10"/>
      <c r="F37" s="11" t="s">
        <v>794</v>
      </c>
      <c r="G37" s="12" t="s">
        <v>879</v>
      </c>
      <c r="H37" s="13"/>
      <c r="I37"/>
    </row>
    <row r="38" spans="1:9" x14ac:dyDescent="0.35">
      <c r="A38" s="9" t="s">
        <v>856</v>
      </c>
      <c r="B38" s="9" t="s">
        <v>596</v>
      </c>
      <c r="C38" s="10" t="s">
        <v>578</v>
      </c>
      <c r="D38" s="9" t="s">
        <v>880</v>
      </c>
      <c r="E38" s="10" t="s">
        <v>867</v>
      </c>
      <c r="F38" s="11" t="s">
        <v>794</v>
      </c>
      <c r="G38" s="12" t="s">
        <v>868</v>
      </c>
      <c r="H38" s="13"/>
      <c r="I38"/>
    </row>
    <row r="39" spans="1:9" x14ac:dyDescent="0.35">
      <c r="A39" s="9" t="s">
        <v>856</v>
      </c>
      <c r="B39" s="9" t="s">
        <v>364</v>
      </c>
      <c r="C39" s="10" t="s">
        <v>269</v>
      </c>
      <c r="D39" s="9" t="s">
        <v>881</v>
      </c>
      <c r="E39" s="10"/>
      <c r="F39" s="11" t="s">
        <v>801</v>
      </c>
      <c r="G39" s="12"/>
      <c r="H39" s="13" t="s">
        <v>805</v>
      </c>
      <c r="I39" s="14" t="s">
        <v>882</v>
      </c>
    </row>
    <row r="40" spans="1:9" ht="29" x14ac:dyDescent="0.35">
      <c r="A40" s="9" t="s">
        <v>856</v>
      </c>
      <c r="B40" s="9" t="s">
        <v>286</v>
      </c>
      <c r="C40" s="10" t="s">
        <v>269</v>
      </c>
      <c r="D40" s="9" t="s">
        <v>883</v>
      </c>
      <c r="E40" s="10" t="s">
        <v>884</v>
      </c>
      <c r="F40" s="11" t="s">
        <v>794</v>
      </c>
      <c r="G40" s="12" t="s">
        <v>817</v>
      </c>
      <c r="H40" s="13" t="s">
        <v>885</v>
      </c>
      <c r="I40"/>
    </row>
    <row r="41" spans="1:9" x14ac:dyDescent="0.35">
      <c r="A41" s="9" t="s">
        <v>856</v>
      </c>
      <c r="B41" s="9" t="s">
        <v>531</v>
      </c>
      <c r="C41" s="10" t="s">
        <v>876</v>
      </c>
      <c r="D41" s="9" t="s">
        <v>886</v>
      </c>
      <c r="E41" s="10"/>
      <c r="F41" s="11" t="s">
        <v>794</v>
      </c>
      <c r="G41" s="12" t="s">
        <v>887</v>
      </c>
      <c r="H41" s="13"/>
      <c r="I41"/>
    </row>
    <row r="42" spans="1:9" x14ac:dyDescent="0.35">
      <c r="A42" s="9" t="s">
        <v>856</v>
      </c>
      <c r="B42" s="9" t="s">
        <v>491</v>
      </c>
      <c r="C42" s="10" t="s">
        <v>888</v>
      </c>
      <c r="D42" s="9" t="s">
        <v>889</v>
      </c>
      <c r="E42" s="10" t="s">
        <v>890</v>
      </c>
      <c r="F42" s="11" t="s">
        <v>794</v>
      </c>
      <c r="G42" s="12" t="s">
        <v>891</v>
      </c>
      <c r="H42" s="13"/>
      <c r="I42"/>
    </row>
    <row r="43" spans="1:9" x14ac:dyDescent="0.35">
      <c r="A43" s="9" t="s">
        <v>856</v>
      </c>
      <c r="B43" s="9" t="s">
        <v>486</v>
      </c>
      <c r="C43" s="10" t="s">
        <v>888</v>
      </c>
      <c r="D43" s="9" t="s">
        <v>889</v>
      </c>
      <c r="E43" s="10" t="s">
        <v>892</v>
      </c>
      <c r="F43" s="11" t="s">
        <v>794</v>
      </c>
      <c r="G43" s="12" t="s">
        <v>891</v>
      </c>
      <c r="H43" s="13"/>
      <c r="I43"/>
    </row>
    <row r="44" spans="1:9" x14ac:dyDescent="0.35">
      <c r="A44" s="9" t="s">
        <v>856</v>
      </c>
      <c r="B44" s="9" t="s">
        <v>559</v>
      </c>
      <c r="C44" s="10" t="s">
        <v>860</v>
      </c>
      <c r="D44" s="9" t="s">
        <v>893</v>
      </c>
      <c r="E44" s="10" t="s">
        <v>862</v>
      </c>
      <c r="F44" s="11" t="s">
        <v>794</v>
      </c>
      <c r="G44" s="12" t="s">
        <v>894</v>
      </c>
      <c r="H44" s="13"/>
      <c r="I44"/>
    </row>
    <row r="45" spans="1:9" x14ac:dyDescent="0.35">
      <c r="A45" s="9" t="s">
        <v>856</v>
      </c>
      <c r="B45" s="9" t="s">
        <v>563</v>
      </c>
      <c r="C45" s="10" t="s">
        <v>860</v>
      </c>
      <c r="D45" s="9" t="s">
        <v>895</v>
      </c>
      <c r="E45" s="10"/>
      <c r="F45" s="11" t="s">
        <v>801</v>
      </c>
      <c r="G45" s="12"/>
      <c r="H45" s="13" t="s">
        <v>896</v>
      </c>
      <c r="I45" s="14" t="s">
        <v>822</v>
      </c>
    </row>
    <row r="46" spans="1:9" ht="52.5" customHeight="1" x14ac:dyDescent="0.35">
      <c r="A46" s="9" t="s">
        <v>856</v>
      </c>
      <c r="B46" s="9" t="s">
        <v>625</v>
      </c>
      <c r="C46" s="10" t="s">
        <v>578</v>
      </c>
      <c r="D46" s="9" t="s">
        <v>897</v>
      </c>
      <c r="E46" s="10" t="s">
        <v>1</v>
      </c>
      <c r="F46" s="11" t="s">
        <v>801</v>
      </c>
      <c r="G46" s="12"/>
      <c r="H46" s="13" t="s">
        <v>898</v>
      </c>
      <c r="I46" s="15" t="s">
        <v>899</v>
      </c>
    </row>
    <row r="47" spans="1:9" x14ac:dyDescent="0.35">
      <c r="A47" s="9" t="s">
        <v>856</v>
      </c>
      <c r="B47" s="9" t="s">
        <v>379</v>
      </c>
      <c r="C47" s="10" t="s">
        <v>835</v>
      </c>
      <c r="D47" s="9" t="s">
        <v>900</v>
      </c>
      <c r="E47" s="10"/>
      <c r="F47" s="11" t="s">
        <v>794</v>
      </c>
      <c r="G47" s="12" t="s">
        <v>887</v>
      </c>
      <c r="H47" s="13"/>
      <c r="I47"/>
    </row>
    <row r="48" spans="1:9" x14ac:dyDescent="0.35">
      <c r="A48" s="9" t="s">
        <v>856</v>
      </c>
      <c r="B48" s="9" t="s">
        <v>584</v>
      </c>
      <c r="C48" s="10" t="s">
        <v>578</v>
      </c>
      <c r="D48" s="9" t="s">
        <v>901</v>
      </c>
      <c r="E48" s="10" t="s">
        <v>867</v>
      </c>
      <c r="F48" s="11" t="s">
        <v>794</v>
      </c>
      <c r="G48" s="12" t="s">
        <v>868</v>
      </c>
      <c r="H48" s="13"/>
      <c r="I48"/>
    </row>
    <row r="49" spans="1:9" x14ac:dyDescent="0.35">
      <c r="A49" s="9" t="s">
        <v>856</v>
      </c>
      <c r="B49" s="9" t="s">
        <v>588</v>
      </c>
      <c r="C49" s="10" t="s">
        <v>578</v>
      </c>
      <c r="D49" s="9" t="s">
        <v>902</v>
      </c>
      <c r="E49" s="10" t="s">
        <v>867</v>
      </c>
      <c r="F49" s="11" t="s">
        <v>794</v>
      </c>
      <c r="G49" s="12" t="s">
        <v>868</v>
      </c>
      <c r="H49" s="13"/>
      <c r="I49"/>
    </row>
    <row r="50" spans="1:9" ht="29" x14ac:dyDescent="0.35">
      <c r="A50" s="9" t="s">
        <v>856</v>
      </c>
      <c r="B50" s="9" t="s">
        <v>393</v>
      </c>
      <c r="C50" s="10" t="s">
        <v>835</v>
      </c>
      <c r="D50" s="9" t="s">
        <v>903</v>
      </c>
      <c r="E50" s="10" t="s">
        <v>904</v>
      </c>
      <c r="F50" s="11" t="s">
        <v>794</v>
      </c>
      <c r="G50" s="12" t="s">
        <v>905</v>
      </c>
      <c r="H50" s="13"/>
      <c r="I50"/>
    </row>
    <row r="51" spans="1:9" ht="29" x14ac:dyDescent="0.35">
      <c r="A51" s="9" t="s">
        <v>856</v>
      </c>
      <c r="B51" s="9" t="s">
        <v>536</v>
      </c>
      <c r="C51" s="10" t="s">
        <v>876</v>
      </c>
      <c r="D51" s="9"/>
      <c r="E51" s="10" t="s">
        <v>906</v>
      </c>
      <c r="F51" s="11" t="s">
        <v>794</v>
      </c>
      <c r="G51" s="12" t="s">
        <v>907</v>
      </c>
      <c r="H51" s="13"/>
      <c r="I51"/>
    </row>
    <row r="52" spans="1:9" x14ac:dyDescent="0.35">
      <c r="A52" s="9" t="s">
        <v>856</v>
      </c>
      <c r="B52" s="9" t="s">
        <v>500</v>
      </c>
      <c r="C52" s="10" t="s">
        <v>876</v>
      </c>
      <c r="D52" s="9"/>
      <c r="E52" s="10" t="s">
        <v>908</v>
      </c>
      <c r="F52" s="11" t="s">
        <v>794</v>
      </c>
      <c r="G52" s="12" t="s">
        <v>909</v>
      </c>
      <c r="H52" s="13"/>
      <c r="I52"/>
    </row>
    <row r="53" spans="1:9" x14ac:dyDescent="0.35">
      <c r="A53" s="9" t="s">
        <v>856</v>
      </c>
      <c r="B53" s="9" t="s">
        <v>522</v>
      </c>
      <c r="C53" s="10" t="s">
        <v>876</v>
      </c>
      <c r="D53" s="9"/>
      <c r="E53" s="10" t="s">
        <v>910</v>
      </c>
      <c r="F53" s="11" t="s">
        <v>794</v>
      </c>
      <c r="G53" s="12" t="s">
        <v>911</v>
      </c>
      <c r="H53" s="13"/>
      <c r="I53"/>
    </row>
    <row r="54" spans="1:9" ht="29" x14ac:dyDescent="0.35">
      <c r="A54" s="9" t="s">
        <v>856</v>
      </c>
      <c r="B54" s="9" t="s">
        <v>513</v>
      </c>
      <c r="C54" s="10" t="s">
        <v>876</v>
      </c>
      <c r="D54" s="9"/>
      <c r="E54" s="10" t="s">
        <v>912</v>
      </c>
      <c r="F54" s="11" t="s">
        <v>794</v>
      </c>
      <c r="G54" s="12" t="s">
        <v>911</v>
      </c>
      <c r="H54" s="13"/>
      <c r="I54"/>
    </row>
    <row r="55" spans="1:9" x14ac:dyDescent="0.35">
      <c r="A55" s="9" t="s">
        <v>856</v>
      </c>
      <c r="B55" s="9" t="s">
        <v>507</v>
      </c>
      <c r="C55" s="10" t="s">
        <v>876</v>
      </c>
      <c r="D55" s="9"/>
      <c r="E55" s="10" t="s">
        <v>913</v>
      </c>
      <c r="F55" s="11" t="s">
        <v>794</v>
      </c>
      <c r="G55" s="12" t="s">
        <v>909</v>
      </c>
      <c r="H55" s="13"/>
      <c r="I55"/>
    </row>
    <row r="56" spans="1:9" x14ac:dyDescent="0.35">
      <c r="A56" s="9" t="s">
        <v>856</v>
      </c>
      <c r="B56" s="9" t="s">
        <v>540</v>
      </c>
      <c r="C56" s="10" t="s">
        <v>876</v>
      </c>
      <c r="D56" s="9"/>
      <c r="E56" s="10"/>
      <c r="F56" s="11" t="s">
        <v>801</v>
      </c>
      <c r="G56" s="12"/>
      <c r="H56" s="13" t="s">
        <v>805</v>
      </c>
    </row>
    <row r="57" spans="1:9" x14ac:dyDescent="0.35">
      <c r="A57" s="9" t="s">
        <v>856</v>
      </c>
      <c r="B57" s="9" t="s">
        <v>505</v>
      </c>
      <c r="C57" s="10" t="s">
        <v>876</v>
      </c>
      <c r="D57" s="9"/>
      <c r="E57" s="10"/>
      <c r="F57" s="11" t="s">
        <v>801</v>
      </c>
      <c r="G57" s="12"/>
      <c r="H57" s="13" t="s">
        <v>805</v>
      </c>
    </row>
    <row r="58" spans="1:9" x14ac:dyDescent="0.35">
      <c r="A58" s="9" t="s">
        <v>856</v>
      </c>
      <c r="B58" s="9" t="s">
        <v>497</v>
      </c>
      <c r="C58" s="10" t="s">
        <v>876</v>
      </c>
      <c r="D58" s="9"/>
      <c r="E58" s="10"/>
      <c r="F58" s="11" t="s">
        <v>801</v>
      </c>
      <c r="G58" s="12"/>
      <c r="H58" s="13" t="s">
        <v>805</v>
      </c>
      <c r="I58" s="14" t="s">
        <v>822</v>
      </c>
    </row>
    <row r="59" spans="1:9" x14ac:dyDescent="0.35">
      <c r="A59" s="9" t="s">
        <v>856</v>
      </c>
      <c r="B59" s="9" t="s">
        <v>397</v>
      </c>
      <c r="C59" s="10" t="s">
        <v>835</v>
      </c>
      <c r="D59" s="9"/>
      <c r="E59" s="10" t="s">
        <v>914</v>
      </c>
      <c r="F59" s="11" t="s">
        <v>794</v>
      </c>
      <c r="G59" s="12" t="s">
        <v>915</v>
      </c>
      <c r="H59" s="13"/>
      <c r="I59"/>
    </row>
    <row r="60" spans="1:9" x14ac:dyDescent="0.35">
      <c r="A60" s="9" t="s">
        <v>856</v>
      </c>
      <c r="B60" s="9" t="s">
        <v>401</v>
      </c>
      <c r="C60" s="10" t="s">
        <v>835</v>
      </c>
      <c r="D60" s="9"/>
      <c r="E60" s="10" t="s">
        <v>916</v>
      </c>
      <c r="F60" s="11" t="s">
        <v>794</v>
      </c>
      <c r="G60" s="12" t="s">
        <v>915</v>
      </c>
      <c r="H60" s="13"/>
      <c r="I60"/>
    </row>
    <row r="61" spans="1:9" x14ac:dyDescent="0.35">
      <c r="A61" s="9" t="s">
        <v>856</v>
      </c>
      <c r="B61" s="9" t="s">
        <v>917</v>
      </c>
      <c r="C61" s="10" t="s">
        <v>835</v>
      </c>
      <c r="D61" s="9"/>
      <c r="E61" s="10"/>
      <c r="F61" s="11" t="s">
        <v>794</v>
      </c>
      <c r="G61" s="12" t="s">
        <v>887</v>
      </c>
      <c r="H61" s="13"/>
      <c r="I61"/>
    </row>
    <row r="62" spans="1:9" ht="29" x14ac:dyDescent="0.35">
      <c r="A62" s="9" t="s">
        <v>856</v>
      </c>
      <c r="B62" s="9" t="s">
        <v>409</v>
      </c>
      <c r="C62" s="10" t="s">
        <v>835</v>
      </c>
      <c r="D62" s="9"/>
      <c r="E62" s="10" t="s">
        <v>918</v>
      </c>
      <c r="F62" s="11" t="s">
        <v>794</v>
      </c>
      <c r="G62" s="12" t="s">
        <v>915</v>
      </c>
      <c r="H62" s="13"/>
      <c r="I62"/>
    </row>
    <row r="63" spans="1:9" x14ac:dyDescent="0.35">
      <c r="A63" s="9" t="s">
        <v>856</v>
      </c>
      <c r="B63" s="9" t="s">
        <v>374</v>
      </c>
      <c r="C63" s="10" t="s">
        <v>835</v>
      </c>
      <c r="D63" s="9"/>
      <c r="E63" s="10" t="s">
        <v>919</v>
      </c>
      <c r="F63" s="11" t="s">
        <v>801</v>
      </c>
      <c r="G63" s="12"/>
      <c r="H63" s="13" t="s">
        <v>920</v>
      </c>
    </row>
    <row r="64" spans="1:9" x14ac:dyDescent="0.35">
      <c r="A64" s="9" t="s">
        <v>856</v>
      </c>
      <c r="B64" s="9" t="s">
        <v>414</v>
      </c>
      <c r="C64" s="10" t="s">
        <v>835</v>
      </c>
      <c r="D64" s="9"/>
      <c r="E64" s="10" t="s">
        <v>846</v>
      </c>
      <c r="F64" s="11" t="s">
        <v>801</v>
      </c>
      <c r="G64" s="12"/>
      <c r="H64" s="13" t="s">
        <v>921</v>
      </c>
      <c r="I64" s="14" t="s">
        <v>803</v>
      </c>
    </row>
    <row r="65" spans="1:9" ht="29" x14ac:dyDescent="0.35">
      <c r="A65" s="9" t="s">
        <v>856</v>
      </c>
      <c r="B65" s="9" t="s">
        <v>334</v>
      </c>
      <c r="C65" s="10" t="s">
        <v>269</v>
      </c>
      <c r="D65" s="9"/>
      <c r="E65" s="10" t="s">
        <v>816</v>
      </c>
      <c r="F65" s="11" t="s">
        <v>794</v>
      </c>
      <c r="G65" s="12" t="s">
        <v>817</v>
      </c>
      <c r="H65" s="13"/>
      <c r="I65"/>
    </row>
    <row r="66" spans="1:9" x14ac:dyDescent="0.35">
      <c r="A66" s="9" t="s">
        <v>856</v>
      </c>
      <c r="B66" s="9" t="s">
        <v>362</v>
      </c>
      <c r="C66" s="10" t="s">
        <v>269</v>
      </c>
      <c r="D66" s="9"/>
      <c r="E66" s="10"/>
      <c r="F66" s="11" t="s">
        <v>801</v>
      </c>
      <c r="G66" s="12"/>
      <c r="H66" s="13" t="s">
        <v>805</v>
      </c>
    </row>
    <row r="67" spans="1:9" ht="29" x14ac:dyDescent="0.35">
      <c r="A67" s="9" t="s">
        <v>856</v>
      </c>
      <c r="B67" s="9" t="s">
        <v>296</v>
      </c>
      <c r="C67" s="10" t="s">
        <v>269</v>
      </c>
      <c r="D67" s="9"/>
      <c r="E67" s="10">
        <v>4.3</v>
      </c>
      <c r="F67" s="11" t="s">
        <v>801</v>
      </c>
      <c r="G67" s="12"/>
      <c r="H67" s="13" t="s">
        <v>805</v>
      </c>
      <c r="I67" s="14" t="s">
        <v>922</v>
      </c>
    </row>
    <row r="68" spans="1:9" x14ac:dyDescent="0.35">
      <c r="A68" s="9" t="s">
        <v>856</v>
      </c>
      <c r="B68" s="9" t="s">
        <v>580</v>
      </c>
      <c r="C68" s="10" t="s">
        <v>578</v>
      </c>
      <c r="D68" s="9"/>
      <c r="E68" s="10" t="s">
        <v>867</v>
      </c>
      <c r="F68" s="11" t="s">
        <v>794</v>
      </c>
      <c r="G68" s="12" t="s">
        <v>868</v>
      </c>
      <c r="H68" s="13"/>
      <c r="I68"/>
    </row>
    <row r="69" spans="1:9" x14ac:dyDescent="0.35">
      <c r="A69" s="9" t="s">
        <v>856</v>
      </c>
      <c r="B69" s="9" t="s">
        <v>592</v>
      </c>
      <c r="C69" s="10" t="s">
        <v>578</v>
      </c>
      <c r="D69" s="9"/>
      <c r="E69" s="10" t="s">
        <v>867</v>
      </c>
      <c r="F69" s="11" t="s">
        <v>794</v>
      </c>
      <c r="G69" s="12" t="s">
        <v>868</v>
      </c>
      <c r="H69" s="13"/>
      <c r="I69"/>
    </row>
    <row r="70" spans="1:9" x14ac:dyDescent="0.35">
      <c r="A70" s="9" t="s">
        <v>856</v>
      </c>
      <c r="B70" s="9" t="s">
        <v>159</v>
      </c>
      <c r="C70" s="10" t="s">
        <v>156</v>
      </c>
      <c r="D70" s="9"/>
      <c r="E70" s="10"/>
      <c r="F70" s="11" t="s">
        <v>794</v>
      </c>
      <c r="G70" s="12" t="s">
        <v>795</v>
      </c>
      <c r="H70" s="13"/>
      <c r="I70"/>
    </row>
    <row r="71" spans="1:9" x14ac:dyDescent="0.35">
      <c r="A71" s="9" t="s">
        <v>856</v>
      </c>
      <c r="B71" s="9" t="s">
        <v>180</v>
      </c>
      <c r="C71" s="10" t="s">
        <v>156</v>
      </c>
      <c r="D71" s="9"/>
      <c r="E71" s="10" t="s">
        <v>923</v>
      </c>
      <c r="F71" s="11" t="s">
        <v>794</v>
      </c>
      <c r="G71" s="12" t="s">
        <v>924</v>
      </c>
      <c r="H71" s="13"/>
      <c r="I71"/>
    </row>
    <row r="72" spans="1:9" x14ac:dyDescent="0.35">
      <c r="A72" s="9" t="s">
        <v>856</v>
      </c>
      <c r="B72" s="9" t="s">
        <v>192</v>
      </c>
      <c r="C72" s="10" t="s">
        <v>156</v>
      </c>
      <c r="D72" s="9"/>
      <c r="E72" s="10" t="s">
        <v>925</v>
      </c>
      <c r="F72" s="11" t="s">
        <v>801</v>
      </c>
      <c r="G72" s="12"/>
      <c r="H72" s="13" t="s">
        <v>926</v>
      </c>
      <c r="I72" s="14" t="s">
        <v>803</v>
      </c>
    </row>
    <row r="73" spans="1:9" x14ac:dyDescent="0.35">
      <c r="A73" s="9" t="s">
        <v>856</v>
      </c>
      <c r="B73" s="9" t="s">
        <v>442</v>
      </c>
      <c r="C73" s="10" t="s">
        <v>420</v>
      </c>
      <c r="D73" s="9"/>
      <c r="E73" s="10"/>
      <c r="F73" s="11" t="s">
        <v>801</v>
      </c>
      <c r="G73" s="12"/>
      <c r="H73" s="13" t="s">
        <v>927</v>
      </c>
    </row>
    <row r="74" spans="1:9" x14ac:dyDescent="0.35">
      <c r="A74" s="9" t="s">
        <v>856</v>
      </c>
      <c r="B74" s="9" t="s">
        <v>423</v>
      </c>
      <c r="C74" s="10" t="s">
        <v>420</v>
      </c>
      <c r="D74" s="9"/>
      <c r="E74" s="10"/>
      <c r="F74" s="11" t="s">
        <v>801</v>
      </c>
      <c r="G74" s="12"/>
      <c r="H74" s="13" t="s">
        <v>928</v>
      </c>
    </row>
    <row r="75" spans="1:9" x14ac:dyDescent="0.35">
      <c r="A75" s="9" t="s">
        <v>856</v>
      </c>
      <c r="B75" s="9" t="s">
        <v>452</v>
      </c>
      <c r="C75" s="10" t="s">
        <v>420</v>
      </c>
      <c r="D75" s="9"/>
      <c r="E75" s="10"/>
      <c r="F75" s="11" t="s">
        <v>794</v>
      </c>
      <c r="G75" s="12" t="s">
        <v>929</v>
      </c>
      <c r="H75" s="13" t="s">
        <v>930</v>
      </c>
      <c r="I75"/>
    </row>
    <row r="76" spans="1:9" x14ac:dyDescent="0.35">
      <c r="A76" s="9" t="s">
        <v>856</v>
      </c>
      <c r="B76" s="9" t="s">
        <v>433</v>
      </c>
      <c r="C76" s="10" t="s">
        <v>420</v>
      </c>
      <c r="D76" s="9"/>
      <c r="E76" s="10"/>
      <c r="F76" s="11" t="s">
        <v>794</v>
      </c>
      <c r="G76" s="12" t="s">
        <v>931</v>
      </c>
      <c r="H76" s="13" t="s">
        <v>932</v>
      </c>
      <c r="I76"/>
    </row>
    <row r="77" spans="1:9" x14ac:dyDescent="0.35">
      <c r="A77" s="9" t="s">
        <v>856</v>
      </c>
      <c r="B77" s="9" t="s">
        <v>428</v>
      </c>
      <c r="C77" s="10" t="s">
        <v>420</v>
      </c>
      <c r="D77" s="9"/>
      <c r="E77" s="10" t="s">
        <v>933</v>
      </c>
      <c r="F77" s="11" t="s">
        <v>794</v>
      </c>
      <c r="G77" s="12" t="s">
        <v>931</v>
      </c>
      <c r="H77" s="13"/>
      <c r="I77"/>
    </row>
    <row r="78" spans="1:9" x14ac:dyDescent="0.35">
      <c r="A78" s="9" t="s">
        <v>856</v>
      </c>
      <c r="B78" s="9" t="s">
        <v>447</v>
      </c>
      <c r="C78" s="10" t="s">
        <v>420</v>
      </c>
      <c r="D78" s="9"/>
      <c r="E78" s="10" t="s">
        <v>934</v>
      </c>
      <c r="F78" s="11" t="s">
        <v>794</v>
      </c>
      <c r="G78" s="12" t="s">
        <v>935</v>
      </c>
      <c r="H78" s="13" t="s">
        <v>936</v>
      </c>
      <c r="I78"/>
    </row>
    <row r="79" spans="1:9" x14ac:dyDescent="0.35">
      <c r="A79" s="9" t="s">
        <v>856</v>
      </c>
      <c r="B79" s="9" t="s">
        <v>467</v>
      </c>
      <c r="C79" s="10" t="s">
        <v>888</v>
      </c>
      <c r="D79" s="9"/>
      <c r="E79" s="10" t="s">
        <v>937</v>
      </c>
      <c r="F79" s="11" t="s">
        <v>794</v>
      </c>
      <c r="G79" s="12" t="s">
        <v>938</v>
      </c>
      <c r="H79" s="13"/>
      <c r="I79"/>
    </row>
    <row r="80" spans="1:9" x14ac:dyDescent="0.35">
      <c r="A80" s="9" t="s">
        <v>856</v>
      </c>
      <c r="B80" s="9" t="s">
        <v>477</v>
      </c>
      <c r="C80" s="10" t="s">
        <v>888</v>
      </c>
      <c r="D80" s="9"/>
      <c r="E80" s="10" t="s">
        <v>939</v>
      </c>
      <c r="F80" s="11" t="s">
        <v>794</v>
      </c>
      <c r="G80" s="12" t="s">
        <v>938</v>
      </c>
      <c r="H80" s="13"/>
      <c r="I80"/>
    </row>
    <row r="81" spans="1:9" ht="29" x14ac:dyDescent="0.35">
      <c r="A81" s="9" t="s">
        <v>856</v>
      </c>
      <c r="B81" s="9" t="s">
        <v>472</v>
      </c>
      <c r="C81" s="10" t="s">
        <v>888</v>
      </c>
      <c r="D81" s="9"/>
      <c r="E81" s="10" t="s">
        <v>940</v>
      </c>
      <c r="F81" s="11" t="s">
        <v>794</v>
      </c>
      <c r="G81" s="12" t="s">
        <v>938</v>
      </c>
      <c r="H81" s="13" t="s">
        <v>941</v>
      </c>
      <c r="I81"/>
    </row>
    <row r="82" spans="1:9" x14ac:dyDescent="0.35">
      <c r="A82" s="9" t="s">
        <v>856</v>
      </c>
      <c r="B82" s="9" t="s">
        <v>481</v>
      </c>
      <c r="C82" s="10" t="s">
        <v>888</v>
      </c>
      <c r="D82" s="9"/>
      <c r="E82" s="10" t="s">
        <v>942</v>
      </c>
      <c r="F82" s="11" t="s">
        <v>794</v>
      </c>
      <c r="G82" s="12" t="s">
        <v>938</v>
      </c>
      <c r="H82" s="13"/>
      <c r="I82"/>
    </row>
    <row r="83" spans="1:9" x14ac:dyDescent="0.35">
      <c r="A83" s="9" t="s">
        <v>856</v>
      </c>
      <c r="B83" s="9" t="s">
        <v>554</v>
      </c>
      <c r="C83" s="10" t="s">
        <v>860</v>
      </c>
      <c r="D83" s="9"/>
      <c r="E83" s="10" t="s">
        <v>943</v>
      </c>
      <c r="F83" s="11" t="s">
        <v>794</v>
      </c>
      <c r="G83" s="12" t="s">
        <v>894</v>
      </c>
      <c r="H83" s="13" t="s">
        <v>944</v>
      </c>
      <c r="I83"/>
    </row>
    <row r="84" spans="1:9" x14ac:dyDescent="0.35">
      <c r="A84" s="9" t="s">
        <v>856</v>
      </c>
      <c r="B84" s="9" t="s">
        <v>544</v>
      </c>
      <c r="C84" s="10" t="s">
        <v>860</v>
      </c>
      <c r="D84" s="9"/>
      <c r="E84" s="10" t="s">
        <v>945</v>
      </c>
      <c r="F84" s="11" t="s">
        <v>794</v>
      </c>
      <c r="G84" s="12" t="s">
        <v>847</v>
      </c>
      <c r="H84" s="13"/>
      <c r="I84"/>
    </row>
    <row r="85" spans="1:9" x14ac:dyDescent="0.35">
      <c r="A85" s="9" t="s">
        <v>856</v>
      </c>
      <c r="B85" s="9" t="s">
        <v>549</v>
      </c>
      <c r="C85" s="10" t="s">
        <v>860</v>
      </c>
      <c r="D85" s="9"/>
      <c r="E85" s="10" t="s">
        <v>945</v>
      </c>
      <c r="F85" s="11" t="s">
        <v>794</v>
      </c>
      <c r="G85" s="12" t="s">
        <v>894</v>
      </c>
      <c r="H85" s="13"/>
      <c r="I85"/>
    </row>
    <row r="86" spans="1:9" x14ac:dyDescent="0.35">
      <c r="A86" s="9" t="s">
        <v>856</v>
      </c>
      <c r="B86" s="9" t="s">
        <v>570</v>
      </c>
      <c r="C86" s="10" t="s">
        <v>860</v>
      </c>
      <c r="D86" s="9"/>
      <c r="E86" s="10"/>
      <c r="F86" s="11" t="s">
        <v>801</v>
      </c>
      <c r="G86" s="12"/>
      <c r="H86" s="13" t="s">
        <v>805</v>
      </c>
    </row>
    <row r="87" spans="1:9" ht="29" x14ac:dyDescent="0.35">
      <c r="A87" s="9" t="s">
        <v>856</v>
      </c>
      <c r="B87" s="9" t="s">
        <v>946</v>
      </c>
      <c r="C87" s="10" t="s">
        <v>695</v>
      </c>
      <c r="D87" s="9"/>
      <c r="E87" s="10" t="s">
        <v>947</v>
      </c>
      <c r="F87" s="11" t="s">
        <v>794</v>
      </c>
      <c r="G87" s="12" t="s">
        <v>929</v>
      </c>
      <c r="H87" s="13"/>
      <c r="I87"/>
    </row>
    <row r="88" spans="1:9" ht="29" x14ac:dyDescent="0.35">
      <c r="A88" s="9" t="s">
        <v>856</v>
      </c>
      <c r="B88" s="9" t="s">
        <v>707</v>
      </c>
      <c r="C88" s="10" t="s">
        <v>695</v>
      </c>
      <c r="D88" s="9"/>
      <c r="E88" s="10"/>
      <c r="F88" s="11" t="s">
        <v>801</v>
      </c>
      <c r="G88" s="12"/>
      <c r="H88" s="13" t="s">
        <v>805</v>
      </c>
      <c r="I88" s="14" t="s">
        <v>822</v>
      </c>
    </row>
    <row r="89" spans="1:9" ht="29" x14ac:dyDescent="0.35">
      <c r="A89" s="9" t="s">
        <v>856</v>
      </c>
      <c r="B89" s="9" t="s">
        <v>709</v>
      </c>
      <c r="C89" s="10" t="s">
        <v>695</v>
      </c>
      <c r="D89" s="9"/>
      <c r="E89" s="10"/>
      <c r="F89" s="11" t="s">
        <v>801</v>
      </c>
      <c r="G89" s="12"/>
      <c r="H89" s="13" t="s">
        <v>805</v>
      </c>
      <c r="I89" s="14" t="s">
        <v>822</v>
      </c>
    </row>
    <row r="90" spans="1:9" ht="29" x14ac:dyDescent="0.35">
      <c r="A90" s="9" t="s">
        <v>856</v>
      </c>
      <c r="B90" s="9" t="s">
        <v>698</v>
      </c>
      <c r="C90" s="10" t="s">
        <v>695</v>
      </c>
      <c r="D90" s="9"/>
      <c r="E90" s="10" t="s">
        <v>948</v>
      </c>
      <c r="F90" s="11" t="s">
        <v>801</v>
      </c>
      <c r="G90" s="12"/>
      <c r="H90" s="13" t="s">
        <v>949</v>
      </c>
      <c r="I90" s="14" t="s">
        <v>822</v>
      </c>
    </row>
    <row r="91" spans="1:9" ht="29" x14ac:dyDescent="0.35">
      <c r="A91" s="9" t="s">
        <v>856</v>
      </c>
      <c r="B91" s="9" t="s">
        <v>712</v>
      </c>
      <c r="C91" s="10" t="s">
        <v>695</v>
      </c>
      <c r="D91" s="9"/>
      <c r="E91" s="10" t="s">
        <v>948</v>
      </c>
      <c r="F91" s="11" t="s">
        <v>794</v>
      </c>
      <c r="G91" s="12" t="s">
        <v>950</v>
      </c>
      <c r="H91" s="13" t="s">
        <v>951</v>
      </c>
      <c r="I91"/>
    </row>
    <row r="92" spans="1:9" x14ac:dyDescent="0.35">
      <c r="A92" s="9" t="s">
        <v>856</v>
      </c>
      <c r="B92" s="9" t="s">
        <v>635</v>
      </c>
      <c r="C92" s="10" t="s">
        <v>952</v>
      </c>
      <c r="D92" s="9"/>
      <c r="E92" s="10" t="s">
        <v>953</v>
      </c>
      <c r="F92" s="11" t="s">
        <v>801</v>
      </c>
      <c r="G92" s="12"/>
      <c r="H92" s="13" t="s">
        <v>954</v>
      </c>
      <c r="I92" s="14" t="s">
        <v>822</v>
      </c>
    </row>
    <row r="93" spans="1:9" ht="29" x14ac:dyDescent="0.35">
      <c r="A93" s="9" t="s">
        <v>856</v>
      </c>
      <c r="B93" s="9" t="s">
        <v>630</v>
      </c>
      <c r="C93" s="10" t="s">
        <v>952</v>
      </c>
      <c r="D93" s="9"/>
      <c r="E93" s="10" t="s">
        <v>955</v>
      </c>
      <c r="F93" s="11" t="s">
        <v>794</v>
      </c>
      <c r="G93" s="12" t="s">
        <v>800</v>
      </c>
      <c r="H93" s="13" t="s">
        <v>956</v>
      </c>
      <c r="I93"/>
    </row>
    <row r="94" spans="1:9" x14ac:dyDescent="0.35">
      <c r="A94" s="9" t="s">
        <v>856</v>
      </c>
      <c r="B94" s="9" t="s">
        <v>639</v>
      </c>
      <c r="C94" s="10" t="s">
        <v>952</v>
      </c>
      <c r="D94" s="9"/>
      <c r="E94" s="10"/>
      <c r="F94" s="11" t="s">
        <v>801</v>
      </c>
      <c r="G94" s="12"/>
      <c r="H94" s="13" t="s">
        <v>805</v>
      </c>
      <c r="I94" s="14" t="s">
        <v>822</v>
      </c>
    </row>
    <row r="95" spans="1:9" x14ac:dyDescent="0.35">
      <c r="A95" s="9" t="s">
        <v>856</v>
      </c>
      <c r="B95" s="9" t="s">
        <v>687</v>
      </c>
      <c r="C95" s="10" t="s">
        <v>869</v>
      </c>
      <c r="D95" s="9"/>
      <c r="E95" s="10" t="s">
        <v>957</v>
      </c>
      <c r="F95" s="11" t="s">
        <v>794</v>
      </c>
      <c r="G95" s="12" t="s">
        <v>958</v>
      </c>
      <c r="H95" s="13"/>
      <c r="I95"/>
    </row>
    <row r="96" spans="1:9" ht="29" x14ac:dyDescent="0.35">
      <c r="A96" s="9" t="s">
        <v>856</v>
      </c>
      <c r="B96" s="9" t="s">
        <v>669</v>
      </c>
      <c r="C96" s="10" t="s">
        <v>869</v>
      </c>
      <c r="D96" s="9"/>
      <c r="E96" s="10" t="s">
        <v>959</v>
      </c>
      <c r="F96" s="11" t="s">
        <v>794</v>
      </c>
      <c r="G96" s="12" t="s">
        <v>872</v>
      </c>
      <c r="H96" s="13" t="s">
        <v>960</v>
      </c>
      <c r="I96"/>
    </row>
    <row r="97" spans="1:9" x14ac:dyDescent="0.35">
      <c r="A97" s="9" t="s">
        <v>856</v>
      </c>
      <c r="B97" s="9" t="s">
        <v>664</v>
      </c>
      <c r="C97" s="10" t="s">
        <v>869</v>
      </c>
      <c r="D97" s="9"/>
      <c r="E97" s="10" t="s">
        <v>961</v>
      </c>
      <c r="F97" s="11" t="s">
        <v>794</v>
      </c>
      <c r="G97" s="12" t="s">
        <v>872</v>
      </c>
      <c r="H97" s="13"/>
      <c r="I97"/>
    </row>
    <row r="98" spans="1:9" ht="29" x14ac:dyDescent="0.35">
      <c r="A98" s="9" t="s">
        <v>856</v>
      </c>
      <c r="B98" s="9" t="s">
        <v>654</v>
      </c>
      <c r="C98" s="10" t="s">
        <v>869</v>
      </c>
      <c r="D98" s="9"/>
      <c r="E98" s="10">
        <v>8.5</v>
      </c>
      <c r="F98" s="11" t="s">
        <v>801</v>
      </c>
      <c r="G98" s="12"/>
      <c r="H98" s="13" t="s">
        <v>962</v>
      </c>
      <c r="I98" s="14" t="s">
        <v>803</v>
      </c>
    </row>
    <row r="99" spans="1:9" x14ac:dyDescent="0.35">
      <c r="A99" s="9" t="s">
        <v>856</v>
      </c>
      <c r="B99" s="9" t="s">
        <v>644</v>
      </c>
      <c r="C99" s="10" t="s">
        <v>869</v>
      </c>
      <c r="D99" s="9"/>
      <c r="E99" s="10" t="s">
        <v>963</v>
      </c>
      <c r="F99" s="11" t="s">
        <v>794</v>
      </c>
      <c r="G99" s="12" t="s">
        <v>964</v>
      </c>
      <c r="H99" s="13" t="s">
        <v>965</v>
      </c>
      <c r="I99"/>
    </row>
    <row r="100" spans="1:9" ht="29" x14ac:dyDescent="0.35">
      <c r="A100" s="9" t="s">
        <v>856</v>
      </c>
      <c r="B100" s="9" t="s">
        <v>689</v>
      </c>
      <c r="C100" s="10" t="s">
        <v>869</v>
      </c>
      <c r="D100" s="9"/>
      <c r="E100" s="10"/>
      <c r="F100" s="11" t="s">
        <v>801</v>
      </c>
      <c r="G100" s="12"/>
      <c r="H100" s="13" t="s">
        <v>805</v>
      </c>
      <c r="I100" s="14" t="s">
        <v>966</v>
      </c>
    </row>
    <row r="101" spans="1:9" x14ac:dyDescent="0.35">
      <c r="A101" s="9" t="s">
        <v>856</v>
      </c>
      <c r="B101" s="9" t="s">
        <v>685</v>
      </c>
      <c r="C101" s="10" t="s">
        <v>869</v>
      </c>
      <c r="D101" s="9"/>
      <c r="E101" s="10"/>
      <c r="F101" s="11" t="s">
        <v>801</v>
      </c>
      <c r="G101" s="12"/>
      <c r="H101" s="13" t="s">
        <v>805</v>
      </c>
      <c r="I101" s="14" t="s">
        <v>966</v>
      </c>
    </row>
    <row r="102" spans="1:9" x14ac:dyDescent="0.35">
      <c r="A102" s="9" t="s">
        <v>856</v>
      </c>
      <c r="B102" s="9" t="s">
        <v>674</v>
      </c>
      <c r="C102" s="10" t="s">
        <v>869</v>
      </c>
      <c r="D102" s="9"/>
      <c r="E102" s="10"/>
      <c r="F102" s="11" t="s">
        <v>801</v>
      </c>
      <c r="G102" s="12"/>
      <c r="H102" s="13" t="s">
        <v>967</v>
      </c>
      <c r="I102" s="14" t="s">
        <v>803</v>
      </c>
    </row>
    <row r="103" spans="1:9" ht="29" x14ac:dyDescent="0.35">
      <c r="A103" s="9" t="s">
        <v>856</v>
      </c>
      <c r="B103" s="9" t="s">
        <v>691</v>
      </c>
      <c r="C103" s="10" t="s">
        <v>869</v>
      </c>
      <c r="D103" s="9"/>
      <c r="E103" s="10"/>
      <c r="F103" s="11" t="s">
        <v>801</v>
      </c>
      <c r="G103" s="12"/>
      <c r="H103" s="13" t="s">
        <v>805</v>
      </c>
      <c r="I103" s="15" t="s">
        <v>968</v>
      </c>
    </row>
    <row r="104" spans="1:9" ht="29" x14ac:dyDescent="0.35">
      <c r="A104" s="9" t="s">
        <v>856</v>
      </c>
      <c r="B104" s="9" t="s">
        <v>693</v>
      </c>
      <c r="C104" s="10" t="s">
        <v>869</v>
      </c>
      <c r="D104" s="9"/>
      <c r="E104" s="10"/>
      <c r="F104" s="11" t="s">
        <v>801</v>
      </c>
      <c r="G104" s="12"/>
      <c r="H104" s="13" t="s">
        <v>805</v>
      </c>
      <c r="I104" s="14" t="s">
        <v>822</v>
      </c>
    </row>
    <row r="105" spans="1:9" x14ac:dyDescent="0.35">
      <c r="A105" s="9" t="s">
        <v>856</v>
      </c>
      <c r="B105" s="9" t="s">
        <v>683</v>
      </c>
      <c r="C105" s="10" t="s">
        <v>869</v>
      </c>
      <c r="D105" s="9"/>
      <c r="E105" s="10"/>
      <c r="F105" s="11" t="s">
        <v>801</v>
      </c>
      <c r="G105" s="12"/>
      <c r="H105" s="13" t="s">
        <v>969</v>
      </c>
      <c r="I105" s="14" t="s">
        <v>970</v>
      </c>
    </row>
    <row r="106" spans="1:9" x14ac:dyDescent="0.35">
      <c r="A106" s="9" t="s">
        <v>856</v>
      </c>
      <c r="B106" s="9" t="s">
        <v>126</v>
      </c>
      <c r="C106" s="10" t="s">
        <v>971</v>
      </c>
      <c r="D106" s="9"/>
      <c r="E106" s="10"/>
      <c r="F106" s="11" t="s">
        <v>801</v>
      </c>
      <c r="G106" s="12"/>
      <c r="H106" s="13" t="s">
        <v>972</v>
      </c>
      <c r="I106" s="14" t="s">
        <v>803</v>
      </c>
    </row>
    <row r="107" spans="1:9" x14ac:dyDescent="0.35">
      <c r="A107" s="9" t="s">
        <v>856</v>
      </c>
      <c r="B107" s="9" t="s">
        <v>118</v>
      </c>
      <c r="C107" s="10" t="s">
        <v>971</v>
      </c>
      <c r="D107" s="9"/>
      <c r="E107" s="10"/>
      <c r="F107" s="11" t="s">
        <v>801</v>
      </c>
      <c r="G107" s="12"/>
      <c r="H107" s="13" t="s">
        <v>972</v>
      </c>
      <c r="I107" s="14" t="s">
        <v>803</v>
      </c>
    </row>
    <row r="108" spans="1:9" x14ac:dyDescent="0.35">
      <c r="A108" s="9" t="s">
        <v>856</v>
      </c>
      <c r="B108" s="9" t="s">
        <v>122</v>
      </c>
      <c r="C108" s="10" t="s">
        <v>971</v>
      </c>
      <c r="D108" s="9"/>
      <c r="E108" s="10"/>
      <c r="F108" s="11" t="s">
        <v>801</v>
      </c>
      <c r="G108" s="12"/>
      <c r="H108" s="13" t="s">
        <v>972</v>
      </c>
      <c r="I108" s="14" t="s">
        <v>803</v>
      </c>
    </row>
    <row r="109" spans="1:9" x14ac:dyDescent="0.35">
      <c r="A109" s="9" t="s">
        <v>856</v>
      </c>
      <c r="B109" s="9" t="s">
        <v>139</v>
      </c>
      <c r="C109" s="10" t="s">
        <v>971</v>
      </c>
      <c r="D109" s="9"/>
      <c r="E109" s="10"/>
      <c r="F109" s="11" t="s">
        <v>794</v>
      </c>
      <c r="G109" s="12" t="s">
        <v>847</v>
      </c>
      <c r="H109" s="13"/>
      <c r="I109"/>
    </row>
    <row r="110" spans="1:9" x14ac:dyDescent="0.35">
      <c r="A110" s="9" t="s">
        <v>856</v>
      </c>
      <c r="B110" s="9" t="s">
        <v>99</v>
      </c>
      <c r="C110" s="10" t="s">
        <v>971</v>
      </c>
      <c r="D110" s="9"/>
      <c r="E110" s="10"/>
      <c r="F110" s="11" t="s">
        <v>794</v>
      </c>
      <c r="G110" s="12" t="s">
        <v>847</v>
      </c>
      <c r="H110" s="13"/>
      <c r="I110"/>
    </row>
    <row r="111" spans="1:9" x14ac:dyDescent="0.35">
      <c r="A111" s="9" t="s">
        <v>856</v>
      </c>
      <c r="B111" s="9" t="s">
        <v>76</v>
      </c>
      <c r="C111" s="10" t="s">
        <v>971</v>
      </c>
      <c r="D111" s="9"/>
      <c r="E111" s="10"/>
      <c r="F111" s="11" t="s">
        <v>801</v>
      </c>
      <c r="G111" s="12"/>
      <c r="H111" s="13" t="s">
        <v>805</v>
      </c>
      <c r="I111" s="14" t="s">
        <v>822</v>
      </c>
    </row>
    <row r="112" spans="1:9" x14ac:dyDescent="0.35">
      <c r="A112" s="9" t="s">
        <v>856</v>
      </c>
      <c r="B112" s="9" t="s">
        <v>68</v>
      </c>
      <c r="C112" s="10" t="s">
        <v>971</v>
      </c>
      <c r="D112" s="9"/>
      <c r="E112" s="10"/>
      <c r="F112" s="11" t="s">
        <v>801</v>
      </c>
      <c r="G112" s="12"/>
      <c r="H112" s="13" t="s">
        <v>805</v>
      </c>
      <c r="I112" s="14" t="s">
        <v>822</v>
      </c>
    </row>
    <row r="113" spans="1:9" x14ac:dyDescent="0.35">
      <c r="A113" s="9" t="s">
        <v>856</v>
      </c>
      <c r="B113" s="9" t="s">
        <v>108</v>
      </c>
      <c r="C113" s="10" t="s">
        <v>971</v>
      </c>
      <c r="D113" s="9"/>
      <c r="E113" s="10"/>
      <c r="F113" s="11" t="s">
        <v>794</v>
      </c>
      <c r="G113" s="12"/>
      <c r="H113" s="13" t="s">
        <v>973</v>
      </c>
      <c r="I113"/>
    </row>
    <row r="114" spans="1:9" x14ac:dyDescent="0.35">
      <c r="A114" s="9" t="s">
        <v>856</v>
      </c>
      <c r="B114" s="9" t="s">
        <v>143</v>
      </c>
      <c r="C114" s="10" t="s">
        <v>971</v>
      </c>
      <c r="D114" s="9"/>
      <c r="E114" s="10"/>
      <c r="F114" s="11" t="s">
        <v>801</v>
      </c>
      <c r="G114" s="12"/>
      <c r="H114" s="13" t="s">
        <v>974</v>
      </c>
      <c r="I114" s="14" t="s">
        <v>822</v>
      </c>
    </row>
    <row r="115" spans="1:9" x14ac:dyDescent="0.35">
      <c r="A115" s="9" t="s">
        <v>856</v>
      </c>
      <c r="B115" s="9" t="s">
        <v>145</v>
      </c>
      <c r="C115" s="10" t="s">
        <v>971</v>
      </c>
      <c r="D115" s="9"/>
      <c r="E115" s="10"/>
      <c r="F115" s="11" t="s">
        <v>801</v>
      </c>
      <c r="G115" s="12"/>
      <c r="H115" s="13" t="s">
        <v>805</v>
      </c>
      <c r="I115" s="14" t="s">
        <v>822</v>
      </c>
    </row>
    <row r="116" spans="1:9" x14ac:dyDescent="0.35">
      <c r="A116" s="9" t="s">
        <v>856</v>
      </c>
      <c r="B116" s="9" t="s">
        <v>74</v>
      </c>
      <c r="C116" s="10" t="s">
        <v>971</v>
      </c>
      <c r="D116" s="9"/>
      <c r="E116" s="10"/>
      <c r="F116" s="11" t="s">
        <v>801</v>
      </c>
      <c r="G116" s="12"/>
      <c r="H116" s="13" t="s">
        <v>975</v>
      </c>
    </row>
    <row r="117" spans="1:9" x14ac:dyDescent="0.35">
      <c r="A117" s="9" t="s">
        <v>856</v>
      </c>
      <c r="B117" s="9" t="s">
        <v>130</v>
      </c>
      <c r="C117" s="10" t="s">
        <v>971</v>
      </c>
      <c r="D117" s="9"/>
      <c r="E117" s="10"/>
      <c r="F117" s="11" t="s">
        <v>794</v>
      </c>
      <c r="G117" s="12" t="s">
        <v>847</v>
      </c>
      <c r="H117" s="13"/>
      <c r="I117"/>
    </row>
    <row r="118" spans="1:9" x14ac:dyDescent="0.35">
      <c r="A118" s="9" t="s">
        <v>856</v>
      </c>
      <c r="B118" s="9" t="s">
        <v>147</v>
      </c>
      <c r="C118" s="10" t="s">
        <v>971</v>
      </c>
      <c r="D118" s="9"/>
      <c r="E118" s="10"/>
      <c r="F118" s="11" t="s">
        <v>801</v>
      </c>
      <c r="G118" s="12"/>
      <c r="H118" s="13" t="s">
        <v>805</v>
      </c>
      <c r="I118" s="14" t="s">
        <v>822</v>
      </c>
    </row>
    <row r="119" spans="1:9" x14ac:dyDescent="0.35">
      <c r="A119" s="9" t="s">
        <v>856</v>
      </c>
      <c r="B119" s="9" t="s">
        <v>83</v>
      </c>
      <c r="C119" s="10" t="s">
        <v>971</v>
      </c>
      <c r="D119" s="9"/>
      <c r="E119" s="10"/>
      <c r="F119" s="11" t="s">
        <v>794</v>
      </c>
      <c r="G119" s="12" t="s">
        <v>847</v>
      </c>
      <c r="H119" s="13"/>
      <c r="I119"/>
    </row>
    <row r="120" spans="1:9" x14ac:dyDescent="0.35">
      <c r="A120" s="9" t="s">
        <v>856</v>
      </c>
      <c r="B120" s="9" t="s">
        <v>79</v>
      </c>
      <c r="C120" s="10" t="s">
        <v>971</v>
      </c>
      <c r="D120" s="9"/>
      <c r="E120" s="10"/>
      <c r="F120" s="11" t="s">
        <v>801</v>
      </c>
      <c r="G120" s="12"/>
      <c r="H120" s="13" t="s">
        <v>976</v>
      </c>
      <c r="I120" s="14" t="s">
        <v>977</v>
      </c>
    </row>
    <row r="121" spans="1:9" x14ac:dyDescent="0.35">
      <c r="A121" s="9" t="s">
        <v>856</v>
      </c>
      <c r="B121" s="9" t="s">
        <v>103</v>
      </c>
      <c r="C121" s="10" t="s">
        <v>971</v>
      </c>
      <c r="D121" s="9"/>
      <c r="E121" s="10"/>
      <c r="F121" s="11" t="s">
        <v>794</v>
      </c>
      <c r="G121" s="12" t="s">
        <v>847</v>
      </c>
      <c r="H121" s="13"/>
      <c r="I121"/>
    </row>
    <row r="122" spans="1:9" x14ac:dyDescent="0.35">
      <c r="A122" s="9" t="s">
        <v>856</v>
      </c>
      <c r="B122" s="9" t="s">
        <v>95</v>
      </c>
      <c r="C122" s="10" t="s">
        <v>971</v>
      </c>
      <c r="D122" s="9"/>
      <c r="E122" s="10"/>
      <c r="F122" s="11" t="s">
        <v>794</v>
      </c>
      <c r="G122" s="12" t="s">
        <v>847</v>
      </c>
      <c r="H122" s="13"/>
      <c r="I122"/>
    </row>
    <row r="123" spans="1:9" x14ac:dyDescent="0.35">
      <c r="A123" s="9" t="s">
        <v>856</v>
      </c>
      <c r="B123" s="9" t="s">
        <v>91</v>
      </c>
      <c r="C123" s="10" t="s">
        <v>971</v>
      </c>
      <c r="D123" s="9"/>
      <c r="E123" s="10"/>
      <c r="F123" s="11" t="s">
        <v>794</v>
      </c>
      <c r="G123" s="12" t="s">
        <v>847</v>
      </c>
      <c r="H123" s="13"/>
      <c r="I123"/>
    </row>
    <row r="124" spans="1:9" x14ac:dyDescent="0.35">
      <c r="A124" s="9" t="s">
        <v>856</v>
      </c>
      <c r="B124" s="9" t="s">
        <v>149</v>
      </c>
      <c r="C124" s="10" t="s">
        <v>971</v>
      </c>
      <c r="D124" s="9"/>
      <c r="E124" s="10"/>
      <c r="F124" s="11" t="s">
        <v>801</v>
      </c>
      <c r="G124" s="12"/>
      <c r="H124" s="13" t="s">
        <v>805</v>
      </c>
      <c r="I124" s="14" t="s">
        <v>822</v>
      </c>
    </row>
    <row r="125" spans="1:9" x14ac:dyDescent="0.35">
      <c r="A125" s="9" t="s">
        <v>856</v>
      </c>
      <c r="B125" s="9" t="s">
        <v>87</v>
      </c>
      <c r="C125" s="10" t="s">
        <v>971</v>
      </c>
      <c r="D125" s="9"/>
      <c r="E125" s="10"/>
      <c r="F125" s="11" t="s">
        <v>794</v>
      </c>
      <c r="G125" s="12" t="s">
        <v>847</v>
      </c>
      <c r="H125" s="13"/>
      <c r="I125"/>
    </row>
    <row r="126" spans="1:9" x14ac:dyDescent="0.35">
      <c r="A126" s="9" t="s">
        <v>856</v>
      </c>
      <c r="B126" s="9" t="s">
        <v>134</v>
      </c>
      <c r="C126" s="10" t="s">
        <v>971</v>
      </c>
      <c r="D126" s="9"/>
      <c r="E126" s="10" t="s">
        <v>978</v>
      </c>
      <c r="F126" s="11" t="s">
        <v>794</v>
      </c>
      <c r="G126" s="12" t="s">
        <v>847</v>
      </c>
      <c r="H126" s="13"/>
      <c r="I126"/>
    </row>
  </sheetData>
  <autoFilter ref="A1:I126" xr:uid="{00000000-0001-0000-0000-000000000000}"/>
  <hyperlinks>
    <hyperlink ref="I18" r:id="rId1" xr:uid="{24CFB104-1877-4805-94A4-5DA12814679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260a97e-35b8-4654-866b-2d63a319b8f9">
      <Terms xmlns="http://schemas.microsoft.com/office/infopath/2007/PartnerControls"/>
    </lcf76f155ced4ddcb4097134ff3c332f>
    <TaxCatchAll xmlns="913ae733-a28c-4770-b89c-4b997e994982"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39286427D647469D4886FC074C6175" ma:contentTypeVersion="18" ma:contentTypeDescription="Create a new document." ma:contentTypeScope="" ma:versionID="66b83ceb78d758c602a5b37b646a1abd">
  <xsd:schema xmlns:xsd="http://www.w3.org/2001/XMLSchema" xmlns:xs="http://www.w3.org/2001/XMLSchema" xmlns:p="http://schemas.microsoft.com/office/2006/metadata/properties" xmlns:ns1="http://schemas.microsoft.com/sharepoint/v3" xmlns:ns2="3260a97e-35b8-4654-866b-2d63a319b8f9" xmlns:ns3="913ae733-a28c-4770-b89c-4b997e994982" targetNamespace="http://schemas.microsoft.com/office/2006/metadata/properties" ma:root="true" ma:fieldsID="299ea4d5b7976ed5a0daa2703d6b697d" ns1:_="" ns2:_="" ns3:_="">
    <xsd:import namespace="http://schemas.microsoft.com/sharepoint/v3"/>
    <xsd:import namespace="3260a97e-35b8-4654-866b-2d63a319b8f9"/>
    <xsd:import namespace="913ae733-a28c-4770-b89c-4b997e99498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60a97e-35b8-4654-866b-2d63a319b8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e002d73-fcbf-44f2-bb02-7941846832bf"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3ae733-a28c-4770-b89c-4b997e99498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f56e3fa-34e4-48e6-9ce4-def2709e5dec}" ma:internalName="TaxCatchAll" ma:showField="CatchAllData" ma:web="913ae733-a28c-4770-b89c-4b997e9949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2F5C21-C302-40B0-BCD5-1578842E17E8}">
  <ds:schemaRefs>
    <ds:schemaRef ds:uri="http://schemas.microsoft.com/sharepoint/v3/contenttype/forms"/>
  </ds:schemaRefs>
</ds:datastoreItem>
</file>

<file path=customXml/itemProps2.xml><?xml version="1.0" encoding="utf-8"?>
<ds:datastoreItem xmlns:ds="http://schemas.openxmlformats.org/officeDocument/2006/customXml" ds:itemID="{2CF53594-60DD-4F3E-AE87-7407CCD272E5}">
  <ds:schemaRefs>
    <ds:schemaRef ds:uri="http://purl.org/dc/elements/1.1/"/>
    <ds:schemaRef ds:uri="http://www.w3.org/XML/1998/namespace"/>
    <ds:schemaRef ds:uri="http://purl.org/dc/terms/"/>
    <ds:schemaRef ds:uri="3260a97e-35b8-4654-866b-2d63a319b8f9"/>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913ae733-a28c-4770-b89c-4b997e994982"/>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C685A421-71C2-42CA-9834-D9E19B748B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260a97e-35b8-4654-866b-2d63a319b8f9"/>
    <ds:schemaRef ds:uri="913ae733-a28c-4770-b89c-4b997e9949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REPORTS</vt:lpstr>
      <vt:lpstr>INDICATORS</vt:lpstr>
      <vt:lpstr>work</vt:lpstr>
      <vt:lpstr>MFAT List_Alison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Denis Grofils</dc:creator>
  <cp:keywords/>
  <dc:description/>
  <cp:lastModifiedBy>Giulio Dalla Riva</cp:lastModifiedBy>
  <cp:revision/>
  <dcterms:created xsi:type="dcterms:W3CDTF">2015-06-05T18:17:20Z</dcterms:created>
  <dcterms:modified xsi:type="dcterms:W3CDTF">2026-06-08T00:23:48Z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0x010100E439286427D647469D4886FC074C6175</vt:lpwstr>
  </property>
  <property fmtid="{D5CDD505-2E9C-101B-9397-08002B2CF9AE}" pid="3" name="MediaServiceImageTags">
    <vt:lpwstr/>
  </property>
</Properties>
</file>